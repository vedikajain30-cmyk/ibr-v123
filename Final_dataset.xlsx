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IBR\"/>
    </mc:Choice>
  </mc:AlternateContent>
  <xr:revisionPtr revIDLastSave="0" documentId="13_ncr:1_{E4ABD58A-3170-4A3E-B5A8-42CCEACE003F}" xr6:coauthVersionLast="47" xr6:coauthVersionMax="47" xr10:uidLastSave="{00000000-0000-0000-0000-000000000000}"/>
  <bookViews>
    <workbookView xWindow="-108" yWindow="-108" windowWidth="23256" windowHeight="12456" xr2:uid="{0B1B10A5-C7DD-418F-9984-853914A2AC0C}"/>
  </bookViews>
  <sheets>
    <sheet name="Dataset" sheetId="2" r:id="rId1"/>
    <sheet name="EDA" sheetId="14" r:id="rId2"/>
    <sheet name="H1" sheetId="7" r:id="rId3"/>
    <sheet name="H2" sheetId="9" r:id="rId4"/>
    <sheet name="H3" sheetId="11" r:id="rId5"/>
    <sheet name="Objective 4" sheetId="16" r:id="rId6"/>
    <sheet name="Objective 5" sheetId="18" r:id="rId7"/>
    <sheet name="Sheet13" sheetId="13" state="hidden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8" l="1"/>
  <c r="K5" i="18"/>
  <c r="J5" i="18"/>
  <c r="I5" i="18"/>
  <c r="K7" i="18"/>
  <c r="J7" i="18"/>
  <c r="I7" i="18"/>
  <c r="K8" i="18"/>
  <c r="J8" i="18"/>
  <c r="I8" i="18"/>
  <c r="K6" i="18"/>
  <c r="J6" i="18"/>
  <c r="I6" i="18"/>
  <c r="K4" i="18"/>
  <c r="J4" i="18"/>
  <c r="I4" i="18"/>
  <c r="K3" i="18"/>
  <c r="J3" i="18"/>
  <c r="I3" i="18"/>
  <c r="I38" i="18" l="1"/>
  <c r="I48" i="18"/>
  <c r="I58" i="18"/>
  <c r="I68" i="18"/>
  <c r="I78" i="18"/>
  <c r="I88" i="18"/>
  <c r="I98" i="18"/>
  <c r="I108" i="18"/>
  <c r="I118" i="18"/>
  <c r="I128" i="18"/>
  <c r="I138" i="18"/>
  <c r="I148" i="18"/>
  <c r="I158" i="18"/>
  <c r="I168" i="18"/>
  <c r="I178" i="18"/>
  <c r="I188" i="18"/>
  <c r="I198" i="18"/>
  <c r="I208" i="18"/>
  <c r="I218" i="18"/>
  <c r="I228" i="18"/>
  <c r="I238" i="18"/>
  <c r="I248" i="18"/>
  <c r="I258" i="18"/>
  <c r="I268" i="18"/>
  <c r="I28" i="18"/>
  <c r="G40" i="18"/>
  <c r="I40" i="18" s="1"/>
  <c r="G41" i="18"/>
  <c r="I41" i="18" s="1"/>
  <c r="G42" i="18"/>
  <c r="I42" i="18" s="1"/>
  <c r="G43" i="18"/>
  <c r="I43" i="18" s="1"/>
  <c r="G44" i="18"/>
  <c r="I44" i="18" s="1"/>
  <c r="G45" i="18"/>
  <c r="I45" i="18" s="1"/>
  <c r="G46" i="18"/>
  <c r="I46" i="18" s="1"/>
  <c r="G47" i="18"/>
  <c r="I47" i="18" s="1"/>
  <c r="G49" i="18"/>
  <c r="I49" i="18" s="1"/>
  <c r="G50" i="18"/>
  <c r="I50" i="18" s="1"/>
  <c r="G51" i="18"/>
  <c r="I51" i="18" s="1"/>
  <c r="G52" i="18"/>
  <c r="I52" i="18" s="1"/>
  <c r="G53" i="18"/>
  <c r="I53" i="18" s="1"/>
  <c r="G54" i="18"/>
  <c r="I54" i="18" s="1"/>
  <c r="G55" i="18"/>
  <c r="I55" i="18" s="1"/>
  <c r="G56" i="18"/>
  <c r="I56" i="18" s="1"/>
  <c r="G57" i="18"/>
  <c r="I57" i="18" s="1"/>
  <c r="G59" i="18"/>
  <c r="I59" i="18" s="1"/>
  <c r="G60" i="18"/>
  <c r="I60" i="18" s="1"/>
  <c r="G61" i="18"/>
  <c r="I61" i="18" s="1"/>
  <c r="G62" i="18"/>
  <c r="I62" i="18" s="1"/>
  <c r="G63" i="18"/>
  <c r="I63" i="18" s="1"/>
  <c r="G64" i="18"/>
  <c r="I64" i="18" s="1"/>
  <c r="G65" i="18"/>
  <c r="I65" i="18" s="1"/>
  <c r="G66" i="18"/>
  <c r="I66" i="18" s="1"/>
  <c r="G67" i="18"/>
  <c r="I67" i="18" s="1"/>
  <c r="G69" i="18"/>
  <c r="I69" i="18" s="1"/>
  <c r="G70" i="18"/>
  <c r="I70" i="18" s="1"/>
  <c r="G71" i="18"/>
  <c r="I71" i="18" s="1"/>
  <c r="G72" i="18"/>
  <c r="I72" i="18" s="1"/>
  <c r="G73" i="18"/>
  <c r="I73" i="18" s="1"/>
  <c r="G74" i="18"/>
  <c r="I74" i="18" s="1"/>
  <c r="G75" i="18"/>
  <c r="I75" i="18" s="1"/>
  <c r="G76" i="18"/>
  <c r="I76" i="18" s="1"/>
  <c r="G77" i="18"/>
  <c r="I77" i="18" s="1"/>
  <c r="G79" i="18"/>
  <c r="I79" i="18" s="1"/>
  <c r="G80" i="18"/>
  <c r="I80" i="18" s="1"/>
  <c r="G81" i="18"/>
  <c r="I81" i="18" s="1"/>
  <c r="G82" i="18"/>
  <c r="I82" i="18" s="1"/>
  <c r="G83" i="18"/>
  <c r="I83" i="18" s="1"/>
  <c r="G84" i="18"/>
  <c r="I84" i="18" s="1"/>
  <c r="G85" i="18"/>
  <c r="I85" i="18" s="1"/>
  <c r="G86" i="18"/>
  <c r="I86" i="18" s="1"/>
  <c r="G87" i="18"/>
  <c r="I87" i="18" s="1"/>
  <c r="G89" i="18"/>
  <c r="I89" i="18" s="1"/>
  <c r="G90" i="18"/>
  <c r="I90" i="18" s="1"/>
  <c r="G91" i="18"/>
  <c r="I91" i="18" s="1"/>
  <c r="G92" i="18"/>
  <c r="I92" i="18" s="1"/>
  <c r="G93" i="18"/>
  <c r="I93" i="18" s="1"/>
  <c r="G94" i="18"/>
  <c r="I94" i="18" s="1"/>
  <c r="G95" i="18"/>
  <c r="I95" i="18" s="1"/>
  <c r="G96" i="18"/>
  <c r="I96" i="18" s="1"/>
  <c r="G97" i="18"/>
  <c r="I97" i="18" s="1"/>
  <c r="G99" i="18"/>
  <c r="I99" i="18" s="1"/>
  <c r="G100" i="18"/>
  <c r="I100" i="18" s="1"/>
  <c r="G101" i="18"/>
  <c r="I101" i="18" s="1"/>
  <c r="G102" i="18"/>
  <c r="I102" i="18" s="1"/>
  <c r="G103" i="18"/>
  <c r="I103" i="18" s="1"/>
  <c r="G104" i="18"/>
  <c r="I104" i="18" s="1"/>
  <c r="G105" i="18"/>
  <c r="I105" i="18" s="1"/>
  <c r="G106" i="18"/>
  <c r="I106" i="18" s="1"/>
  <c r="G107" i="18"/>
  <c r="I107" i="18" s="1"/>
  <c r="G109" i="18"/>
  <c r="I109" i="18" s="1"/>
  <c r="G110" i="18"/>
  <c r="I110" i="18" s="1"/>
  <c r="G111" i="18"/>
  <c r="I111" i="18" s="1"/>
  <c r="G112" i="18"/>
  <c r="I112" i="18" s="1"/>
  <c r="G113" i="18"/>
  <c r="I113" i="18" s="1"/>
  <c r="G114" i="18"/>
  <c r="I114" i="18" s="1"/>
  <c r="G115" i="18"/>
  <c r="I115" i="18" s="1"/>
  <c r="G116" i="18"/>
  <c r="I116" i="18" s="1"/>
  <c r="G117" i="18"/>
  <c r="I117" i="18" s="1"/>
  <c r="G119" i="18"/>
  <c r="I119" i="18" s="1"/>
  <c r="G120" i="18"/>
  <c r="I120" i="18" s="1"/>
  <c r="G121" i="18"/>
  <c r="I121" i="18" s="1"/>
  <c r="G122" i="18"/>
  <c r="I122" i="18" s="1"/>
  <c r="G123" i="18"/>
  <c r="I123" i="18" s="1"/>
  <c r="G124" i="18"/>
  <c r="I124" i="18" s="1"/>
  <c r="G125" i="18"/>
  <c r="I125" i="18" s="1"/>
  <c r="G126" i="18"/>
  <c r="I126" i="18" s="1"/>
  <c r="G127" i="18"/>
  <c r="I127" i="18" s="1"/>
  <c r="G129" i="18"/>
  <c r="I129" i="18" s="1"/>
  <c r="G130" i="18"/>
  <c r="I130" i="18" s="1"/>
  <c r="G131" i="18"/>
  <c r="I131" i="18" s="1"/>
  <c r="G132" i="18"/>
  <c r="I132" i="18" s="1"/>
  <c r="G133" i="18"/>
  <c r="I133" i="18" s="1"/>
  <c r="G134" i="18"/>
  <c r="I134" i="18" s="1"/>
  <c r="G135" i="18"/>
  <c r="I135" i="18" s="1"/>
  <c r="G136" i="18"/>
  <c r="I136" i="18" s="1"/>
  <c r="G137" i="18"/>
  <c r="I137" i="18" s="1"/>
  <c r="G139" i="18"/>
  <c r="I139" i="18" s="1"/>
  <c r="G140" i="18"/>
  <c r="I140" i="18" s="1"/>
  <c r="G141" i="18"/>
  <c r="I141" i="18" s="1"/>
  <c r="G142" i="18"/>
  <c r="I142" i="18" s="1"/>
  <c r="G143" i="18"/>
  <c r="I143" i="18" s="1"/>
  <c r="G144" i="18"/>
  <c r="I144" i="18" s="1"/>
  <c r="G145" i="18"/>
  <c r="I145" i="18" s="1"/>
  <c r="G146" i="18"/>
  <c r="I146" i="18" s="1"/>
  <c r="G147" i="18"/>
  <c r="I147" i="18" s="1"/>
  <c r="G149" i="18"/>
  <c r="I149" i="18" s="1"/>
  <c r="G150" i="18"/>
  <c r="I150" i="18" s="1"/>
  <c r="G151" i="18"/>
  <c r="I151" i="18" s="1"/>
  <c r="G152" i="18"/>
  <c r="I152" i="18" s="1"/>
  <c r="G153" i="18"/>
  <c r="I153" i="18" s="1"/>
  <c r="G154" i="18"/>
  <c r="I154" i="18" s="1"/>
  <c r="G155" i="18"/>
  <c r="I155" i="18" s="1"/>
  <c r="G156" i="18"/>
  <c r="I156" i="18" s="1"/>
  <c r="G157" i="18"/>
  <c r="I157" i="18" s="1"/>
  <c r="G159" i="18"/>
  <c r="I159" i="18" s="1"/>
  <c r="G160" i="18"/>
  <c r="I160" i="18" s="1"/>
  <c r="G161" i="18"/>
  <c r="I161" i="18" s="1"/>
  <c r="G162" i="18"/>
  <c r="I162" i="18" s="1"/>
  <c r="G163" i="18"/>
  <c r="I163" i="18" s="1"/>
  <c r="G164" i="18"/>
  <c r="I164" i="18" s="1"/>
  <c r="G165" i="18"/>
  <c r="I165" i="18" s="1"/>
  <c r="G166" i="18"/>
  <c r="I166" i="18" s="1"/>
  <c r="G167" i="18"/>
  <c r="I167" i="18" s="1"/>
  <c r="G169" i="18"/>
  <c r="I169" i="18" s="1"/>
  <c r="G170" i="18"/>
  <c r="I170" i="18" s="1"/>
  <c r="G171" i="18"/>
  <c r="I171" i="18" s="1"/>
  <c r="G172" i="18"/>
  <c r="I172" i="18" s="1"/>
  <c r="G173" i="18"/>
  <c r="I173" i="18" s="1"/>
  <c r="G174" i="18"/>
  <c r="I174" i="18" s="1"/>
  <c r="G175" i="18"/>
  <c r="I175" i="18" s="1"/>
  <c r="G176" i="18"/>
  <c r="I176" i="18" s="1"/>
  <c r="G177" i="18"/>
  <c r="I177" i="18" s="1"/>
  <c r="G179" i="18"/>
  <c r="I179" i="18" s="1"/>
  <c r="G180" i="18"/>
  <c r="I180" i="18" s="1"/>
  <c r="G181" i="18"/>
  <c r="I181" i="18" s="1"/>
  <c r="G182" i="18"/>
  <c r="I182" i="18" s="1"/>
  <c r="G183" i="18"/>
  <c r="I183" i="18" s="1"/>
  <c r="G184" i="18"/>
  <c r="I184" i="18" s="1"/>
  <c r="G185" i="18"/>
  <c r="I185" i="18" s="1"/>
  <c r="G186" i="18"/>
  <c r="I186" i="18" s="1"/>
  <c r="G187" i="18"/>
  <c r="I187" i="18" s="1"/>
  <c r="G189" i="18"/>
  <c r="I189" i="18" s="1"/>
  <c r="G190" i="18"/>
  <c r="I190" i="18" s="1"/>
  <c r="G191" i="18"/>
  <c r="I191" i="18" s="1"/>
  <c r="G192" i="18"/>
  <c r="I192" i="18" s="1"/>
  <c r="G193" i="18"/>
  <c r="I193" i="18" s="1"/>
  <c r="G194" i="18"/>
  <c r="I194" i="18" s="1"/>
  <c r="G195" i="18"/>
  <c r="I195" i="18" s="1"/>
  <c r="G196" i="18"/>
  <c r="I196" i="18" s="1"/>
  <c r="G197" i="18"/>
  <c r="I197" i="18" s="1"/>
  <c r="G199" i="18"/>
  <c r="I199" i="18" s="1"/>
  <c r="G200" i="18"/>
  <c r="I200" i="18" s="1"/>
  <c r="G201" i="18"/>
  <c r="I201" i="18" s="1"/>
  <c r="G202" i="18"/>
  <c r="I202" i="18" s="1"/>
  <c r="G203" i="18"/>
  <c r="I203" i="18" s="1"/>
  <c r="G204" i="18"/>
  <c r="I204" i="18" s="1"/>
  <c r="G205" i="18"/>
  <c r="I205" i="18" s="1"/>
  <c r="G206" i="18"/>
  <c r="I206" i="18" s="1"/>
  <c r="G207" i="18"/>
  <c r="I207" i="18" s="1"/>
  <c r="G209" i="18"/>
  <c r="I209" i="18" s="1"/>
  <c r="G210" i="18"/>
  <c r="I210" i="18" s="1"/>
  <c r="G211" i="18"/>
  <c r="I211" i="18" s="1"/>
  <c r="G212" i="18"/>
  <c r="I212" i="18" s="1"/>
  <c r="G213" i="18"/>
  <c r="I213" i="18" s="1"/>
  <c r="G214" i="18"/>
  <c r="I214" i="18" s="1"/>
  <c r="G215" i="18"/>
  <c r="I215" i="18" s="1"/>
  <c r="G216" i="18"/>
  <c r="I216" i="18" s="1"/>
  <c r="G217" i="18"/>
  <c r="I217" i="18" s="1"/>
  <c r="G219" i="18"/>
  <c r="I219" i="18" s="1"/>
  <c r="G220" i="18"/>
  <c r="I220" i="18" s="1"/>
  <c r="G221" i="18"/>
  <c r="I221" i="18" s="1"/>
  <c r="G222" i="18"/>
  <c r="I222" i="18" s="1"/>
  <c r="G223" i="18"/>
  <c r="I223" i="18" s="1"/>
  <c r="G224" i="18"/>
  <c r="I224" i="18" s="1"/>
  <c r="G225" i="18"/>
  <c r="I225" i="18" s="1"/>
  <c r="G226" i="18"/>
  <c r="I226" i="18" s="1"/>
  <c r="G227" i="18"/>
  <c r="I227" i="18" s="1"/>
  <c r="G229" i="18"/>
  <c r="I229" i="18" s="1"/>
  <c r="G230" i="18"/>
  <c r="I230" i="18" s="1"/>
  <c r="G231" i="18"/>
  <c r="I231" i="18" s="1"/>
  <c r="G232" i="18"/>
  <c r="I232" i="18" s="1"/>
  <c r="G233" i="18"/>
  <c r="I233" i="18" s="1"/>
  <c r="G234" i="18"/>
  <c r="I234" i="18" s="1"/>
  <c r="G235" i="18"/>
  <c r="I235" i="18" s="1"/>
  <c r="G236" i="18"/>
  <c r="I236" i="18" s="1"/>
  <c r="G237" i="18"/>
  <c r="I237" i="18" s="1"/>
  <c r="G239" i="18"/>
  <c r="I239" i="18" s="1"/>
  <c r="G240" i="18"/>
  <c r="I240" i="18" s="1"/>
  <c r="G241" i="18"/>
  <c r="I241" i="18" s="1"/>
  <c r="G242" i="18"/>
  <c r="I242" i="18" s="1"/>
  <c r="G243" i="18"/>
  <c r="I243" i="18" s="1"/>
  <c r="G244" i="18"/>
  <c r="I244" i="18" s="1"/>
  <c r="G245" i="18"/>
  <c r="I245" i="18" s="1"/>
  <c r="G246" i="18"/>
  <c r="I246" i="18" s="1"/>
  <c r="G247" i="18"/>
  <c r="I247" i="18" s="1"/>
  <c r="G249" i="18"/>
  <c r="I249" i="18" s="1"/>
  <c r="G250" i="18"/>
  <c r="I250" i="18" s="1"/>
  <c r="G251" i="18"/>
  <c r="I251" i="18" s="1"/>
  <c r="G252" i="18"/>
  <c r="I252" i="18" s="1"/>
  <c r="G253" i="18"/>
  <c r="I253" i="18" s="1"/>
  <c r="G254" i="18"/>
  <c r="G255" i="18"/>
  <c r="G256" i="18"/>
  <c r="G257" i="18"/>
  <c r="I257" i="18" s="1"/>
  <c r="G259" i="18"/>
  <c r="I259" i="18" s="1"/>
  <c r="G260" i="18"/>
  <c r="I260" i="18" s="1"/>
  <c r="G261" i="18"/>
  <c r="I261" i="18" s="1"/>
  <c r="G262" i="18"/>
  <c r="I262" i="18" s="1"/>
  <c r="G263" i="18"/>
  <c r="I263" i="18" s="1"/>
  <c r="G264" i="18"/>
  <c r="I264" i="18" s="1"/>
  <c r="G265" i="18"/>
  <c r="I265" i="18" s="1"/>
  <c r="G266" i="18"/>
  <c r="I266" i="18" s="1"/>
  <c r="G267" i="18"/>
  <c r="I267" i="18" s="1"/>
  <c r="G269" i="18"/>
  <c r="I269" i="18" s="1"/>
  <c r="G270" i="18"/>
  <c r="I270" i="18" s="1"/>
  <c r="G271" i="18"/>
  <c r="I271" i="18" s="1"/>
  <c r="G272" i="18"/>
  <c r="I272" i="18" s="1"/>
  <c r="G273" i="18"/>
  <c r="I273" i="18" s="1"/>
  <c r="G274" i="18"/>
  <c r="I274" i="18" s="1"/>
  <c r="G275" i="18"/>
  <c r="I275" i="18" s="1"/>
  <c r="G276" i="18"/>
  <c r="I276" i="18" s="1"/>
  <c r="G277" i="18"/>
  <c r="I277" i="18" s="1"/>
  <c r="G39" i="18"/>
  <c r="I39" i="18" s="1"/>
  <c r="G30" i="18"/>
  <c r="I30" i="18" s="1"/>
  <c r="G31" i="18"/>
  <c r="I31" i="18" s="1"/>
  <c r="G32" i="18"/>
  <c r="I32" i="18" s="1"/>
  <c r="G33" i="18"/>
  <c r="I33" i="18" s="1"/>
  <c r="G34" i="18"/>
  <c r="I34" i="18" s="1"/>
  <c r="G35" i="18"/>
  <c r="I35" i="18" s="1"/>
  <c r="G36" i="18"/>
  <c r="I36" i="18" s="1"/>
  <c r="G37" i="18"/>
  <c r="I37" i="18" s="1"/>
  <c r="G29" i="18"/>
  <c r="I29" i="18" s="1"/>
  <c r="B4" i="18"/>
  <c r="B5" i="18" s="1"/>
  <c r="B6" i="18" s="1"/>
  <c r="B8" i="18" s="1"/>
  <c r="C281" i="16"/>
  <c r="E296" i="16" s="1"/>
  <c r="D296" i="16" s="1"/>
  <c r="E295" i="16" l="1"/>
  <c r="D295" i="16" s="1"/>
  <c r="E293" i="16"/>
  <c r="D293" i="16" s="1"/>
  <c r="E302" i="16"/>
  <c r="D302" i="16" s="1"/>
  <c r="E301" i="16"/>
  <c r="D301" i="16" s="1"/>
  <c r="E300" i="16"/>
  <c r="D300" i="16" s="1"/>
  <c r="E311" i="16"/>
  <c r="D311" i="16" s="1"/>
  <c r="E310" i="16"/>
  <c r="D310" i="16" s="1"/>
  <c r="E294" i="16"/>
  <c r="D294" i="16" s="1"/>
  <c r="E309" i="16"/>
  <c r="D309" i="16" s="1"/>
  <c r="E308" i="16"/>
  <c r="D308" i="16" s="1"/>
  <c r="E292" i="16"/>
  <c r="D292" i="16" s="1"/>
  <c r="E303" i="16"/>
  <c r="D303" i="16" s="1"/>
  <c r="E299" i="16"/>
  <c r="D299" i="16" s="1"/>
  <c r="E298" i="16"/>
  <c r="D298" i="16" s="1"/>
  <c r="E307" i="16"/>
  <c r="D307" i="16" s="1"/>
  <c r="E291" i="16"/>
  <c r="D291" i="16" s="1"/>
  <c r="E306" i="16"/>
  <c r="D306" i="16" s="1"/>
  <c r="E290" i="16"/>
  <c r="D290" i="16" s="1"/>
  <c r="E288" i="16"/>
  <c r="D288" i="16" s="1"/>
  <c r="E305" i="16"/>
  <c r="D305" i="16" s="1"/>
  <c r="E297" i="16"/>
  <c r="D297" i="16" s="1"/>
  <c r="E289" i="16"/>
  <c r="D289" i="16" s="1"/>
  <c r="E312" i="16"/>
  <c r="D312" i="16" s="1"/>
  <c r="E304" i="16"/>
  <c r="D304" i="16" s="1"/>
  <c r="E4" i="16" l="1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3" i="16"/>
  <c r="D52" i="9"/>
  <c r="D51" i="9"/>
  <c r="D50" i="9"/>
  <c r="D49" i="9"/>
  <c r="C151" i="9"/>
  <c r="C9" i="9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3" i="2"/>
  <c r="K49" i="2" l="1"/>
  <c r="K50" i="2"/>
  <c r="K52" i="2"/>
  <c r="K51" i="2"/>
  <c r="I49" i="2"/>
  <c r="I50" i="2"/>
  <c r="I51" i="2"/>
  <c r="I52" i="2"/>
  <c r="G129" i="2"/>
  <c r="G130" i="2"/>
  <c r="G131" i="2"/>
  <c r="G132" i="2"/>
  <c r="I132" i="2"/>
  <c r="I131" i="2"/>
  <c r="I130" i="2"/>
  <c r="I129" i="2"/>
  <c r="I122" i="2"/>
  <c r="I121" i="2"/>
  <c r="I120" i="2"/>
  <c r="I119" i="2"/>
  <c r="C20" i="2"/>
  <c r="C30" i="2" s="1"/>
  <c r="C40" i="2" s="1"/>
  <c r="C50" i="2" s="1"/>
  <c r="C60" i="2" s="1"/>
  <c r="C70" i="2" s="1"/>
  <c r="C80" i="2" s="1"/>
  <c r="C90" i="2" s="1"/>
  <c r="C100" i="2" s="1"/>
  <c r="C110" i="2" s="1"/>
  <c r="C120" i="2" s="1"/>
  <c r="C130" i="2" s="1"/>
  <c r="C140" i="2" s="1"/>
  <c r="C150" i="2" s="1"/>
  <c r="C160" i="2" s="1"/>
  <c r="C170" i="2" s="1"/>
  <c r="C180" i="2" s="1"/>
  <c r="C190" i="2" s="1"/>
  <c r="C200" i="2" s="1"/>
  <c r="C210" i="2" s="1"/>
  <c r="C220" i="2" s="1"/>
  <c r="C230" i="2" s="1"/>
  <c r="C240" i="2" s="1"/>
  <c r="C250" i="2" s="1"/>
  <c r="C21" i="2"/>
  <c r="C31" i="2" s="1"/>
  <c r="C41" i="2" s="1"/>
  <c r="C51" i="2" s="1"/>
  <c r="C61" i="2" s="1"/>
  <c r="C71" i="2" s="1"/>
  <c r="C81" i="2" s="1"/>
  <c r="C91" i="2" s="1"/>
  <c r="C101" i="2" s="1"/>
  <c r="C111" i="2" s="1"/>
  <c r="C121" i="2" s="1"/>
  <c r="C131" i="2" s="1"/>
  <c r="C141" i="2" s="1"/>
  <c r="C151" i="2" s="1"/>
  <c r="C161" i="2" s="1"/>
  <c r="C171" i="2" s="1"/>
  <c r="C181" i="2" s="1"/>
  <c r="C191" i="2" s="1"/>
  <c r="C201" i="2" s="1"/>
  <c r="C211" i="2" s="1"/>
  <c r="C221" i="2" s="1"/>
  <c r="C231" i="2" s="1"/>
  <c r="C241" i="2" s="1"/>
  <c r="C251" i="2" s="1"/>
  <c r="C22" i="2"/>
  <c r="C32" i="2" s="1"/>
  <c r="C42" i="2" s="1"/>
  <c r="C52" i="2" s="1"/>
  <c r="C62" i="2" s="1"/>
  <c r="C72" i="2" s="1"/>
  <c r="C82" i="2" s="1"/>
  <c r="C92" i="2" s="1"/>
  <c r="C102" i="2" s="1"/>
  <c r="C112" i="2" s="1"/>
  <c r="C122" i="2" s="1"/>
  <c r="C132" i="2" s="1"/>
  <c r="C142" i="2" s="1"/>
  <c r="C152" i="2" s="1"/>
  <c r="C162" i="2" s="1"/>
  <c r="C172" i="2" s="1"/>
  <c r="C182" i="2" s="1"/>
  <c r="C192" i="2" s="1"/>
  <c r="C202" i="2" s="1"/>
  <c r="C212" i="2" s="1"/>
  <c r="C222" i="2" s="1"/>
  <c r="C232" i="2" s="1"/>
  <c r="C242" i="2" s="1"/>
  <c r="C252" i="2" s="1"/>
  <c r="C19" i="2"/>
  <c r="C29" i="2" s="1"/>
  <c r="C39" i="2" s="1"/>
  <c r="C49" i="2" s="1"/>
  <c r="C59" i="2" s="1"/>
  <c r="C69" i="2" s="1"/>
  <c r="C79" i="2" s="1"/>
  <c r="C89" i="2" s="1"/>
  <c r="C99" i="2" s="1"/>
  <c r="C109" i="2" s="1"/>
  <c r="C119" i="2" s="1"/>
  <c r="C129" i="2" s="1"/>
  <c r="C139" i="2" s="1"/>
  <c r="C149" i="2" s="1"/>
  <c r="C159" i="2" s="1"/>
  <c r="C169" i="2" s="1"/>
  <c r="C179" i="2" s="1"/>
  <c r="C189" i="2" s="1"/>
  <c r="C199" i="2" s="1"/>
  <c r="C209" i="2" s="1"/>
  <c r="C219" i="2" s="1"/>
  <c r="C229" i="2" s="1"/>
  <c r="C239" i="2" s="1"/>
  <c r="C249" i="2" s="1"/>
  <c r="I109" i="2"/>
  <c r="I110" i="2"/>
  <c r="I111" i="2"/>
  <c r="I112" i="2"/>
  <c r="I99" i="2"/>
  <c r="I100" i="2"/>
  <c r="I101" i="2"/>
  <c r="I102" i="2"/>
  <c r="H151" i="2"/>
  <c r="I151" i="2" s="1"/>
  <c r="I149" i="2"/>
  <c r="I150" i="2"/>
  <c r="I152" i="2"/>
  <c r="G89" i="2"/>
  <c r="G90" i="2"/>
  <c r="G91" i="2"/>
  <c r="G92" i="2"/>
  <c r="I91" i="2"/>
  <c r="I92" i="2"/>
  <c r="G31" i="2"/>
  <c r="G32" i="2"/>
  <c r="I19" i="2"/>
  <c r="I20" i="2"/>
  <c r="I21" i="2"/>
  <c r="I22" i="2"/>
  <c r="G139" i="2"/>
  <c r="G140" i="2"/>
  <c r="I139" i="2"/>
  <c r="I140" i="2"/>
  <c r="I141" i="2"/>
  <c r="I142" i="2"/>
  <c r="H9" i="2" l="1"/>
  <c r="I60" i="2"/>
  <c r="I59" i="2"/>
  <c r="I61" i="2"/>
  <c r="I62" i="2"/>
  <c r="G61" i="2"/>
  <c r="G62" i="2"/>
  <c r="I232" i="2"/>
  <c r="G229" i="2"/>
  <c r="G230" i="2"/>
  <c r="G231" i="2"/>
  <c r="G232" i="2"/>
  <c r="I242" i="2"/>
  <c r="I241" i="2"/>
  <c r="I240" i="2"/>
  <c r="I239" i="2"/>
  <c r="G241" i="2"/>
  <c r="G240" i="2"/>
  <c r="G239" i="2"/>
  <c r="G242" i="2"/>
  <c r="I249" i="2"/>
  <c r="I250" i="2"/>
  <c r="I251" i="2"/>
  <c r="I252" i="2"/>
  <c r="G249" i="2"/>
  <c r="I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229" authorId="0" shapeId="0" xr:uid="{5FA2A413-D161-4457-938C-CB489933BFC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Company is engaged in providing the Port Services hence it is not applicable 
</t>
        </r>
      </text>
    </comment>
    <comment ref="H230" authorId="0" shapeId="0" xr:uid="{FE3A1B70-4598-4420-B5DB-A2A05BD1EE0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Company is engaged in providing the Port Services hence it is not applicable 
</t>
        </r>
      </text>
    </comment>
    <comment ref="H231" authorId="0" shapeId="0" xr:uid="{5EDA0FE4-2698-4A4A-B00B-6A65F5D80D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Company is engaged in providing the Port Services hence it is not applicable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229" authorId="0" shapeId="0" xr:uid="{2A83EB53-118C-480F-8243-63048C026F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Company is engaged in providing the Port Services hence it is not applicable 
</t>
        </r>
      </text>
    </comment>
    <comment ref="C230" authorId="0" shapeId="0" xr:uid="{50A7E334-80A5-4A07-95FE-F9A06E14E8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Company is engaged in providing the Port Services hence it is not applicable 
</t>
        </r>
      </text>
    </comment>
    <comment ref="C231" authorId="0" shapeId="0" xr:uid="{0EEEB82E-182C-418A-87C3-30056762499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The Company is engaged in providing the Port Services hence it is not applicable 
</t>
        </r>
      </text>
    </comment>
  </commentList>
</comments>
</file>

<file path=xl/sharedStrings.xml><?xml version="1.0" encoding="utf-8"?>
<sst xmlns="http://schemas.openxmlformats.org/spreadsheetml/2006/main" count="3726" uniqueCount="239">
  <si>
    <t>Year</t>
  </si>
  <si>
    <t>No.</t>
  </si>
  <si>
    <t>Company</t>
  </si>
  <si>
    <t>Sub-Sector</t>
  </si>
  <si>
    <t>Mkt Cap
(₹ Cr)</t>
  </si>
  <si>
    <t>Capex
(₹ Cr)</t>
  </si>
  <si>
    <t>Capex/
Assets</t>
  </si>
  <si>
    <t>P/E
Ratio</t>
  </si>
  <si>
    <t>ROE</t>
  </si>
  <si>
    <t>D/E
Ratio</t>
  </si>
  <si>
    <t>GDP
Growth%</t>
  </si>
  <si>
    <t>Repo
Rate%</t>
  </si>
  <si>
    <t>Gov Capex
(₹ lakh cr)</t>
  </si>
  <si>
    <t>Ln(Mkt
Cap)</t>
  </si>
  <si>
    <t>FY22</t>
  </si>
  <si>
    <t>IRCON International</t>
  </si>
  <si>
    <t>Railways EPC</t>
  </si>
  <si>
    <t>Power Generation</t>
  </si>
  <si>
    <t>NTPC Ltd.</t>
  </si>
  <si>
    <t>Tata Power Company</t>
  </si>
  <si>
    <t>Power/Renewables</t>
  </si>
  <si>
    <t>IRB Infrastructure</t>
  </si>
  <si>
    <t>Roads &amp; Highways</t>
  </si>
  <si>
    <t>Power Grid Corp.</t>
  </si>
  <si>
    <t>Power Transmission</t>
  </si>
  <si>
    <t>KNR Constructions</t>
  </si>
  <si>
    <t>Roads / EPC</t>
  </si>
  <si>
    <t>NBCC (India) Ltd.</t>
  </si>
  <si>
    <t>Urban / Govt. EPC</t>
  </si>
  <si>
    <t>Ashoka Buildcon</t>
  </si>
  <si>
    <t>Roads / HAM</t>
  </si>
  <si>
    <t>GR Infraprojects</t>
  </si>
  <si>
    <t>NCC Limited</t>
  </si>
  <si>
    <t>Construction EPC</t>
  </si>
  <si>
    <t>Torrent Power</t>
  </si>
  <si>
    <t>Renewables/Utilities</t>
  </si>
  <si>
    <t>Kalpataru Projects</t>
  </si>
  <si>
    <t>EPC / T&amp;D</t>
  </si>
  <si>
    <t>Adani Ports (APSEZ)</t>
  </si>
  <si>
    <t>Ports &amp; Logistics</t>
  </si>
  <si>
    <t>Texmaco Rail &amp; Engineering</t>
  </si>
  <si>
    <t>Railways / Wagons</t>
  </si>
  <si>
    <t>JSW Infrastructure</t>
  </si>
  <si>
    <t>Ports / Logistics</t>
  </si>
  <si>
    <t>RVNL (Rail Vikas Nigam)</t>
  </si>
  <si>
    <t>Airports</t>
  </si>
  <si>
    <t>Adani Enterprises</t>
  </si>
  <si>
    <t>Airports / Diversified</t>
  </si>
  <si>
    <t>PNC Infratech</t>
  </si>
  <si>
    <t>Roads/Urban Infra</t>
  </si>
  <si>
    <t>HG Infra Engineering</t>
  </si>
  <si>
    <t>Roads EPC</t>
  </si>
  <si>
    <t>VA Tech Wabag</t>
  </si>
  <si>
    <t>Water / Urban Infra</t>
  </si>
  <si>
    <t>Larsen &amp; Toubro</t>
  </si>
  <si>
    <t>EPC / Diversified</t>
  </si>
  <si>
    <t>Adani Green Energy</t>
  </si>
  <si>
    <t>Renewable Energy</t>
  </si>
  <si>
    <t>Gujarat Pipavav Port</t>
  </si>
  <si>
    <t>Ports</t>
  </si>
  <si>
    <t>Adani Total Gas</t>
  </si>
  <si>
    <t>City Gas / Utilities</t>
  </si>
  <si>
    <t>Indus Towers</t>
  </si>
  <si>
    <t>Telecom Infrastructure</t>
  </si>
  <si>
    <t>FY23</t>
  </si>
  <si>
    <t>FY24</t>
  </si>
  <si>
    <t>FY25</t>
  </si>
  <si>
    <t>Sub-Sector Group</t>
  </si>
  <si>
    <t>Railways</t>
  </si>
  <si>
    <t>Power</t>
  </si>
  <si>
    <t>Roads</t>
  </si>
  <si>
    <t>EPC</t>
  </si>
  <si>
    <t>Water</t>
  </si>
  <si>
    <t>Utilities</t>
  </si>
  <si>
    <t xml:space="preserve">Roads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</si>
  <si>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</si>
  <si>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</si>
  <si>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</si>
  <si>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</si>
  <si>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</si>
  <si>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</si>
  <si>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</si>
  <si>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</si>
  <si>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</si>
  <si>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</si>
  <si>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</si>
  <si>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</si>
  <si>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</si>
  <si>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#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</si>
  <si>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</si>
  <si>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</si>
  <si>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</si>
  <si>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</si>
  <si>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</si>
  <si>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</si>
  <si>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</si>
  <si>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</si>
  <si>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</si>
  <si>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</si>
  <si>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</si>
  <si>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</si>
  <si>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</si>
  <si>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</si>
  <si>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</si>
  <si>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</si>
  <si>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</si>
  <si>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</si>
  <si>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</si>
  <si>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</si>
  <si>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</si>
  <si>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</si>
  <si>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</si>
  <si>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&lt;</t>
  </si>
  <si>
    <t>Reject H0 &amp; accept H1</t>
  </si>
  <si>
    <t>Variable is significant</t>
  </si>
  <si>
    <t>Alpha value</t>
  </si>
  <si>
    <t>&lt; alpha, model is significant</t>
  </si>
  <si>
    <t xml:space="preserve">H0: </t>
  </si>
  <si>
    <t>H1:</t>
  </si>
  <si>
    <t>Alpha</t>
  </si>
  <si>
    <t>The government capital expenditure negatively influences the equity valuation of the Indian infrastructure firms in terms of increased market capitalization.</t>
  </si>
  <si>
    <t>The government capital expenditure positively influences the equity valuation of the Indian infrastructure firms in terms of increased market capitalization.</t>
  </si>
  <si>
    <t xml:space="preserve"> The model that we are buidling is good, it will be useful to predict market cap based on the independent factors. It signifies that Adjusted R square is not zero and the correlation between the model and the dependent variables is high.This model is better than an intercept-only model, which is a model with no independent variables.</t>
  </si>
  <si>
    <t>Conclusion:</t>
  </si>
  <si>
    <t>Capex (₹ Cr)</t>
  </si>
  <si>
    <t>D/E Ratio</t>
  </si>
  <si>
    <t>Ln(Mkt Cap)</t>
  </si>
  <si>
    <t>Capex/Assets</t>
  </si>
  <si>
    <t>&gt;</t>
  </si>
  <si>
    <t>Fail to reject H0</t>
  </si>
  <si>
    <t>Variable is not significant</t>
  </si>
  <si>
    <t>Higher investments of infrastructures by the private sector correlate positively with stock returns and valuation multiples of the listed infrastructure companies.</t>
  </si>
  <si>
    <t>Higher investments of infrastructures by the private sector correlate negatively with stock returns and valuation multiples of the listed infrastructure companies.</t>
  </si>
  <si>
    <t xml:space="preserve"> The model that we are buidling is good, it will be useful to predict dependent factor based on the independent factors. It signifies that Adjusted R square is not zero and the correlation between the model and the dependent variables is high.This model is better than an intercept-only model, which is a model with no independent variables.</t>
  </si>
  <si>
    <t>ROCE</t>
  </si>
  <si>
    <t>There is no significant relationship between capital expenditure cycles and stock returns of infrastructure companies.</t>
  </si>
  <si>
    <t>Capital expenditure cycles significantly influence stock returns of infrastructure companies, with higher returns during capex booms and lower returns during downturns.</t>
  </si>
  <si>
    <t>Author(s)</t>
  </si>
  <si>
    <t>Lekha (2025)</t>
  </si>
  <si>
    <t>Theme</t>
  </si>
  <si>
    <t>Capex &amp; Firm Value</t>
  </si>
  <si>
    <t>Ganie, Wani &amp; Haldar (2024)</t>
  </si>
  <si>
    <t>Key Finding</t>
  </si>
  <si>
    <t>Capex has a delayed positive impact on firm value (medium to long term)</t>
  </si>
  <si>
    <t>Capex &amp; Performance</t>
  </si>
  <si>
    <t>Cost of Equity</t>
  </si>
  <si>
    <t>Manjunatha (2022)</t>
  </si>
  <si>
    <t>Firm Valuation Drivers</t>
  </si>
  <si>
    <t>Ahamed &amp; Tripathi (2023)</t>
  </si>
  <si>
    <t>Chari et al. (2025)</t>
  </si>
  <si>
    <t>Profitability and operating cash flows are key transmission channels</t>
  </si>
  <si>
    <t>High capex raises risk premiums; Fama-French outperforms CAPM</t>
  </si>
  <si>
    <t>Infrastructure equities outperform during active capital growth phases</t>
  </si>
  <si>
    <t>Singla &amp; Prakash (2021)</t>
  </si>
  <si>
    <t>Net fixed assets (capex proxy) strongly positively correlates with Market Cap</t>
  </si>
  <si>
    <t>Infrastructure &amp; Capital Cycles</t>
  </si>
  <si>
    <t>Public capex crowds-in private investment; creates recognisable expansion cycles</t>
  </si>
  <si>
    <t>Financial Structure &amp; Valuation</t>
  </si>
  <si>
    <t>Leverage and profitability mediate the capex–valuation relationship</t>
  </si>
  <si>
    <t>Singh, Singh &amp; Prakash (2022)</t>
  </si>
  <si>
    <t>Infrastructure Equity Returns</t>
  </si>
  <si>
    <t>Corporate Investment Drivers</t>
  </si>
  <si>
    <t>Sahoo &amp; Bishnoi (2023)</t>
  </si>
  <si>
    <t>Investment decisions are driven by both firm-level factors (profitability, leverage) and macroeconomic policy</t>
  </si>
  <si>
    <t>Capex &amp; Profitability Constraints</t>
  </si>
  <si>
    <t>Prathwin &amp; Marisetty (2024)</t>
  </si>
  <si>
    <t>High capex does not always translate into profitability due to competition and cost pressures</t>
  </si>
  <si>
    <t>Capex &amp; Firm Performance</t>
  </si>
  <si>
    <t>Purushothaman et al. (2022)</t>
  </si>
  <si>
    <t>Capex improves firm performance, but leverage moderates its impact</t>
  </si>
  <si>
    <t>Infrastructure Equity Performance</t>
  </si>
  <si>
    <t>Hasnat (2021)</t>
  </si>
  <si>
    <t>Infrastructure stocks show mixed returns due to high leverage and execution risks</t>
  </si>
  <si>
    <t>IPO &amp; Capex Signaling</t>
  </si>
  <si>
    <t>Sahoo &amp; Saxena (2025)</t>
  </si>
  <si>
    <t>Firms allocating IPO funds to capex receive higher valuation from investors</t>
  </si>
  <si>
    <t>Asset Growth &amp; Valuation</t>
  </si>
  <si>
    <t>Net fixed assets (capex proxy) positively influence market capitalization</t>
  </si>
  <si>
    <t>Cost of Capital &amp; Performance</t>
  </si>
  <si>
    <t>Tripathi &amp; Tripathi (2023)</t>
  </si>
  <si>
    <t>Better financial performance reduces cost of capital, improving valuation</t>
  </si>
  <si>
    <t>FY16</t>
  </si>
  <si>
    <t>FY17</t>
  </si>
  <si>
    <t>FY18</t>
  </si>
  <si>
    <t>FY19</t>
  </si>
  <si>
    <t>FY20</t>
  </si>
  <si>
    <t>FY21</t>
  </si>
  <si>
    <t>Particluar</t>
  </si>
  <si>
    <t>Adjusted R square value shows that 54% of variation in the value of market cap can be explained by the variations in the value of the independent factors of the model. High R square value shows better prediction power of the regression model.</t>
  </si>
  <si>
    <t>ln(markat cap)= 8.14 + (0.24) * (Govt. capex)</t>
  </si>
  <si>
    <t xml:space="preserve">For every ₹1 lakh cr additional govt capex, market cap increases by 0.24 cr. </t>
  </si>
  <si>
    <t>ROCE= 0.15 + (0.01) * (capex)</t>
  </si>
  <si>
    <t>Adjusted R square value shows that 59% of variation in the value of dependent variable can be explained by the variations in the value of the independent factors of the model. High R square value shows better prediction power of the regression model.</t>
  </si>
  <si>
    <t>Adjusted R square value shows that 36% of variation in the value of dependent variable can be explained by the variations in the value of the independent factors of the model. High R square value shows better prediction power of the regression model.</t>
  </si>
  <si>
    <t>PE ratio = Ln(mkt cap)*(12.08)+ D/E ratio* (78.04)+ Capex * (-0.01)-118.26</t>
  </si>
  <si>
    <t>D/E²</t>
  </si>
  <si>
    <t>β₀</t>
  </si>
  <si>
    <t>β₁</t>
  </si>
  <si>
    <t>β₂</t>
  </si>
  <si>
    <t>Variables</t>
  </si>
  <si>
    <t>Positive</t>
  </si>
  <si>
    <t>Negative</t>
  </si>
  <si>
    <t>Expected</t>
  </si>
  <si>
    <t>Why</t>
  </si>
  <si>
    <t>Initially, leverage increases valuation</t>
  </si>
  <si>
    <t>After some point, the vatuation decreases</t>
  </si>
  <si>
    <t>Tipping Point D/E</t>
  </si>
  <si>
    <t>D/E ratio beyond which valuation growth reverses</t>
  </si>
  <si>
    <t>Average of D/E</t>
  </si>
  <si>
    <t>0–0.5</t>
  </si>
  <si>
    <t>D/E Range</t>
  </si>
  <si>
    <t>Avg Ln(Mkt Cap)</t>
  </si>
  <si>
    <t>Avg Mkt Cap (₹ Cr)</t>
  </si>
  <si>
    <t>Obs Count</t>
  </si>
  <si>
    <t>0.5–1.0</t>
  </si>
  <si>
    <t>1.0–1.5</t>
  </si>
  <si>
    <t>1.5–2.0</t>
  </si>
  <si>
    <t>2.0–2.5</t>
  </si>
  <si>
    <t>2.5–3.0</t>
  </si>
  <si>
    <t>3.0+</t>
  </si>
  <si>
    <t>Fitted Ln(Mkt Cap)</t>
  </si>
  <si>
    <t>Rank</t>
  </si>
  <si>
    <t>Avg Efficiency
(ΔMktCap/Capex)</t>
  </si>
  <si>
    <t>Avg Capex/
Assets</t>
  </si>
  <si>
    <t>Avg Ln
(Mkt Cap)</t>
  </si>
  <si>
    <t>Avg P/E</t>
  </si>
  <si>
    <t>Efficiency ratio</t>
  </si>
  <si>
    <t>Capex</t>
  </si>
  <si>
    <t>Chang e in Market cap</t>
  </si>
  <si>
    <t>Market cap</t>
  </si>
  <si>
    <t>Sub-sector</t>
  </si>
  <si>
    <t xml:space="preserve">Intercept </t>
  </si>
  <si>
    <t>p-value</t>
  </si>
  <si>
    <t>Slope
(Capex/Assets)</t>
  </si>
  <si>
    <t>Interpretation</t>
  </si>
  <si>
    <t>Alpha: 5%</t>
  </si>
  <si>
    <t>Strong +ve</t>
  </si>
  <si>
    <t>Moderate +ve</t>
  </si>
  <si>
    <t>Weak / Insig.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</si>
</sst>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7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173">
    <xf numFmtId="0" fontId="0" fillId="0" borderId="0" xfId="0"/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2" fontId="0" fillId="0" borderId="12" xfId="0" applyNumberFormat="1" applyBorder="1"/>
    <xf numFmtId="2" fontId="0" fillId="0" borderId="13" xfId="0" applyNumberFormat="1" applyBorder="1"/>
    <xf numFmtId="0" fontId="0" fillId="0" borderId="13" xfId="0" applyBorder="1"/>
    <xf numFmtId="164" fontId="0" fillId="0" borderId="12" xfId="0" applyNumberFormat="1" applyBorder="1"/>
    <xf numFmtId="164" fontId="0" fillId="0" borderId="13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0" fontId="0" fillId="0" borderId="15" xfId="0" applyBorder="1"/>
    <xf numFmtId="0" fontId="0" fillId="0" borderId="16" xfId="0" applyBorder="1"/>
    <xf numFmtId="2" fontId="0" fillId="0" borderId="22" xfId="0" applyNumberFormat="1" applyBorder="1"/>
    <xf numFmtId="0" fontId="2" fillId="0" borderId="0" xfId="0" applyFont="1"/>
    <xf numFmtId="0" fontId="2" fillId="0" borderId="16" xfId="0" applyFont="1" applyBorder="1"/>
    <xf numFmtId="0" fontId="3" fillId="2" borderId="22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9" fontId="0" fillId="0" borderId="0" xfId="1" applyFont="1" applyFill="1" applyBorder="1" applyAlignment="1"/>
    <xf numFmtId="9" fontId="0" fillId="0" borderId="18" xfId="1" applyFont="1" applyFill="1" applyBorder="1" applyAlignment="1"/>
    <xf numFmtId="0" fontId="8" fillId="2" borderId="11" xfId="0" applyFont="1" applyFill="1" applyBorder="1" applyAlignment="1">
      <alignment horizontal="center" vertical="center" wrapText="1"/>
    </xf>
    <xf numFmtId="2" fontId="0" fillId="0" borderId="0" xfId="1" applyNumberFormat="1" applyFont="1" applyFill="1" applyBorder="1" applyAlignment="1"/>
    <xf numFmtId="2" fontId="0" fillId="0" borderId="18" xfId="1" applyNumberFormat="1" applyFont="1" applyFill="1" applyBorder="1" applyAlignment="1"/>
    <xf numFmtId="0" fontId="10" fillId="0" borderId="1" xfId="2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0" fillId="0" borderId="7" xfId="2" applyFont="1" applyBorder="1"/>
    <xf numFmtId="0" fontId="10" fillId="0" borderId="9" xfId="2" applyFont="1" applyBorder="1"/>
    <xf numFmtId="0" fontId="10" fillId="0" borderId="10" xfId="2" applyFont="1" applyBorder="1"/>
    <xf numFmtId="0" fontId="10" fillId="0" borderId="13" xfId="2" applyFont="1" applyBorder="1"/>
    <xf numFmtId="0" fontId="2" fillId="0" borderId="14" xfId="0" applyFont="1" applyBorder="1"/>
    <xf numFmtId="9" fontId="2" fillId="0" borderId="27" xfId="0" applyNumberFormat="1" applyFont="1" applyBorder="1"/>
    <xf numFmtId="9" fontId="0" fillId="0" borderId="1" xfId="1" applyFont="1" applyFill="1" applyBorder="1" applyAlignment="1"/>
    <xf numFmtId="9" fontId="0" fillId="0" borderId="1" xfId="0" applyNumberFormat="1" applyBorder="1" applyAlignment="1">
      <alignment horizontal="left"/>
    </xf>
    <xf numFmtId="9" fontId="0" fillId="0" borderId="9" xfId="0" applyNumberFormat="1" applyBorder="1" applyAlignment="1">
      <alignment horizontal="left"/>
    </xf>
    <xf numFmtId="0" fontId="0" fillId="0" borderId="11" xfId="0" applyBorder="1"/>
    <xf numFmtId="9" fontId="0" fillId="0" borderId="13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9" fontId="0" fillId="0" borderId="16" xfId="1" applyFont="1" applyFill="1" applyBorder="1" applyAlignment="1"/>
    <xf numFmtId="0" fontId="7" fillId="0" borderId="14" xfId="0" applyFont="1" applyBorder="1" applyAlignment="1">
      <alignment horizontal="center"/>
    </xf>
    <xf numFmtId="0" fontId="2" fillId="0" borderId="11" xfId="0" applyFont="1" applyBorder="1"/>
    <xf numFmtId="0" fontId="2" fillId="0" borderId="4" xfId="0" applyFont="1" applyBorder="1"/>
    <xf numFmtId="0" fontId="0" fillId="0" borderId="6" xfId="0" applyBorder="1"/>
    <xf numFmtId="0" fontId="0" fillId="0" borderId="8" xfId="0" applyBorder="1" applyAlignment="1">
      <alignment wrapText="1"/>
    </xf>
    <xf numFmtId="9" fontId="0" fillId="0" borderId="9" xfId="1" applyFont="1" applyFill="1" applyBorder="1" applyAlignment="1"/>
    <xf numFmtId="0" fontId="10" fillId="0" borderId="1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8" fillId="2" borderId="22" xfId="0" applyFont="1" applyFill="1" applyBorder="1" applyAlignment="1">
      <alignment horizontal="center" vertical="center" wrapText="1"/>
    </xf>
    <xf numFmtId="9" fontId="2" fillId="0" borderId="0" xfId="0" applyNumberFormat="1" applyFont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12" xfId="0" applyNumberFormat="1" applyBorder="1" applyAlignment="1">
      <alignment wrapText="1"/>
    </xf>
    <xf numFmtId="0" fontId="0" fillId="0" borderId="22" xfId="0" applyBorder="1" applyAlignment="1">
      <alignment wrapText="1"/>
    </xf>
    <xf numFmtId="1" fontId="0" fillId="0" borderId="22" xfId="0" applyNumberFormat="1" applyBorder="1" applyAlignment="1">
      <alignment wrapText="1"/>
    </xf>
    <xf numFmtId="2" fontId="0" fillId="0" borderId="22" xfId="0" applyNumberFormat="1" applyBorder="1" applyAlignment="1">
      <alignment wrapText="1"/>
    </xf>
    <xf numFmtId="164" fontId="0" fillId="0" borderId="22" xfId="0" applyNumberFormat="1" applyBorder="1" applyAlignment="1">
      <alignment wrapText="1"/>
    </xf>
    <xf numFmtId="0" fontId="0" fillId="0" borderId="12" xfId="0" applyBorder="1" applyAlignment="1">
      <alignment wrapText="1"/>
    </xf>
    <xf numFmtId="1" fontId="0" fillId="0" borderId="12" xfId="0" applyNumberFormat="1" applyBorder="1" applyAlignment="1">
      <alignment wrapText="1"/>
    </xf>
    <xf numFmtId="164" fontId="0" fillId="0" borderId="12" xfId="0" applyNumberFormat="1" applyBorder="1" applyAlignment="1">
      <alignment wrapText="1"/>
    </xf>
    <xf numFmtId="2" fontId="0" fillId="0" borderId="19" xfId="0" applyNumberFormat="1" applyBorder="1" applyAlignment="1">
      <alignment wrapText="1"/>
    </xf>
    <xf numFmtId="0" fontId="0" fillId="0" borderId="12" xfId="0" applyBorder="1"/>
    <xf numFmtId="0" fontId="0" fillId="0" borderId="18" xfId="0" applyBorder="1"/>
    <xf numFmtId="0" fontId="6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Continuous"/>
    </xf>
    <xf numFmtId="2" fontId="0" fillId="0" borderId="0" xfId="0" applyNumberFormat="1"/>
    <xf numFmtId="2" fontId="0" fillId="0" borderId="18" xfId="0" applyNumberFormat="1" applyBorder="1"/>
    <xf numFmtId="164" fontId="0" fillId="0" borderId="0" xfId="0" applyNumberFormat="1"/>
    <xf numFmtId="164" fontId="0" fillId="0" borderId="18" xfId="0" applyNumberFormat="1" applyBorder="1"/>
    <xf numFmtId="164" fontId="0" fillId="0" borderId="19" xfId="0" applyNumberFormat="1" applyBorder="1" applyAlignment="1">
      <alignment wrapText="1"/>
    </xf>
    <xf numFmtId="1" fontId="0" fillId="3" borderId="32" xfId="0" applyNumberFormat="1" applyFill="1" applyBorder="1" applyAlignment="1">
      <alignment wrapText="1"/>
    </xf>
    <xf numFmtId="2" fontId="0" fillId="3" borderId="32" xfId="0" applyNumberFormat="1" applyFill="1" applyBorder="1" applyAlignment="1">
      <alignment wrapText="1"/>
    </xf>
    <xf numFmtId="164" fontId="0" fillId="3" borderId="32" xfId="0" applyNumberFormat="1" applyFill="1" applyBorder="1" applyAlignment="1">
      <alignment wrapText="1"/>
    </xf>
    <xf numFmtId="1" fontId="0" fillId="3" borderId="12" xfId="0" applyNumberFormat="1" applyFill="1" applyBorder="1"/>
    <xf numFmtId="2" fontId="0" fillId="3" borderId="12" xfId="0" applyNumberFormat="1" applyFill="1" applyBorder="1"/>
    <xf numFmtId="164" fontId="0" fillId="3" borderId="12" xfId="0" applyNumberFormat="1" applyFill="1" applyBorder="1"/>
    <xf numFmtId="0" fontId="8" fillId="0" borderId="0" xfId="0" applyFont="1" applyAlignment="1">
      <alignment horizontal="center" vertical="center" wrapText="1"/>
    </xf>
    <xf numFmtId="1" fontId="0" fillId="0" borderId="0" xfId="0" applyNumberFormat="1"/>
    <xf numFmtId="0" fontId="2" fillId="0" borderId="15" xfId="0" applyFont="1" applyBorder="1"/>
    <xf numFmtId="0" fontId="2" fillId="0" borderId="23" xfId="0" applyFont="1" applyBorder="1"/>
    <xf numFmtId="0" fontId="7" fillId="0" borderId="2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7" fillId="0" borderId="21" xfId="0" applyFont="1" applyBorder="1" applyAlignment="1">
      <alignment horizontal="center"/>
    </xf>
    <xf numFmtId="0" fontId="0" fillId="0" borderId="23" xfId="0" applyBorder="1"/>
    <xf numFmtId="1" fontId="0" fillId="0" borderId="22" xfId="0" applyNumberForma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8" fillId="0" borderId="11" xfId="0" applyFont="1" applyBorder="1" applyAlignment="1">
      <alignment horizontal="center" vertical="center" wrapText="1"/>
    </xf>
    <xf numFmtId="164" fontId="0" fillId="0" borderId="32" xfId="0" applyNumberFormat="1" applyBorder="1" applyAlignment="1">
      <alignment wrapText="1"/>
    </xf>
    <xf numFmtId="164" fontId="0" fillId="3" borderId="12" xfId="0" applyNumberFormat="1" applyFill="1" applyBorder="1" applyAlignment="1">
      <alignment wrapText="1"/>
    </xf>
    <xf numFmtId="1" fontId="0" fillId="0" borderId="32" xfId="0" applyNumberFormat="1" applyBorder="1" applyAlignment="1">
      <alignment wrapText="1"/>
    </xf>
    <xf numFmtId="1" fontId="0" fillId="3" borderId="12" xfId="0" applyNumberFormat="1" applyFill="1" applyBorder="1" applyAlignment="1">
      <alignment wrapText="1"/>
    </xf>
    <xf numFmtId="2" fontId="0" fillId="0" borderId="32" xfId="0" applyNumberFormat="1" applyBorder="1" applyAlignment="1">
      <alignment wrapText="1"/>
    </xf>
    <xf numFmtId="2" fontId="0" fillId="3" borderId="12" xfId="0" applyNumberFormat="1" applyFill="1" applyBorder="1" applyAlignment="1">
      <alignment wrapText="1"/>
    </xf>
    <xf numFmtId="164" fontId="0" fillId="0" borderId="33" xfId="0" applyNumberFormat="1" applyBorder="1"/>
    <xf numFmtId="1" fontId="0" fillId="0" borderId="33" xfId="0" applyNumberFormat="1" applyBorder="1"/>
    <xf numFmtId="2" fontId="0" fillId="0" borderId="33" xfId="0" applyNumberFormat="1" applyBorder="1"/>
    <xf numFmtId="0" fontId="0" fillId="0" borderId="1" xfId="0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2" fontId="0" fillId="0" borderId="1" xfId="0" applyNumberFormat="1" applyBorder="1"/>
    <xf numFmtId="0" fontId="2" fillId="3" borderId="1" xfId="0" applyFont="1" applyFill="1" applyBorder="1"/>
    <xf numFmtId="0" fontId="2" fillId="0" borderId="0" xfId="0" applyFont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2" xfId="0" applyBorder="1"/>
    <xf numFmtId="0" fontId="0" fillId="5" borderId="2" xfId="0" applyFill="1" applyBorder="1"/>
    <xf numFmtId="0" fontId="0" fillId="5" borderId="21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4" borderId="0" xfId="0" applyFont="1" applyFill="1" applyAlignment="1">
      <alignment horizontal="left" wrapText="1"/>
    </xf>
    <xf numFmtId="0" fontId="0" fillId="0" borderId="25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30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4" borderId="0" xfId="0" applyFill="1" applyAlignment="1">
      <alignment horizontal="left" vertical="top" wrapText="1"/>
    </xf>
    <xf numFmtId="2" fontId="11" fillId="0" borderId="0" xfId="2" applyNumberFormat="1" applyFont="1" applyAlignment="1">
      <alignment horizontal="center" wrapText="1"/>
    </xf>
    <xf numFmtId="0" fontId="12" fillId="0" borderId="2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26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0" fontId="13" fillId="4" borderId="0" xfId="0" applyFont="1" applyFill="1" applyAlignment="1">
      <alignment horizontal="left" vertical="top" wrapText="1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7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/>
    <xf numFmtId="0" fontId="0" fillId="0" borderId="40" xfId="0" applyBorder="1"/>
    <xf numFmtId="2" fontId="0" fillId="0" borderId="40" xfId="0" applyNumberFormat="1" applyBorder="1"/>
    <xf numFmtId="0" fontId="0" fillId="0" borderId="41" xfId="0" applyBorder="1"/>
    <xf numFmtId="0" fontId="0" fillId="0" borderId="0" xfId="0" applyFill="1" applyBorder="1" applyAlignment="1"/>
    <xf numFmtId="0" fontId="0" fillId="0" borderId="18" xfId="0" applyFill="1" applyBorder="1" applyAlignment="1"/>
    <xf numFmtId="0" fontId="6" fillId="0" borderId="20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Continuous"/>
    </xf>
    <xf numFmtId="0" fontId="0" fillId="0" borderId="18" xfId="0" applyFill="1" applyBorder="1" applyAlignment="1">
      <alignment wrapText="1"/>
    </xf>
    <xf numFmtId="167" fontId="0" fillId="0" borderId="0" xfId="1" applyNumberFormat="1" applyFont="1" applyFill="1" applyBorder="1" applyAlignment="1"/>
    <xf numFmtId="167" fontId="0" fillId="0" borderId="18" xfId="1" applyNumberFormat="1" applyFont="1" applyFill="1" applyBorder="1" applyAlignment="1"/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/>
    <xf numFmtId="9" fontId="0" fillId="0" borderId="12" xfId="0" applyNumberFormat="1" applyBorder="1"/>
    <xf numFmtId="0" fontId="0" fillId="0" borderId="21" xfId="0" applyBorder="1" applyAlignment="1">
      <alignment wrapText="1"/>
    </xf>
    <xf numFmtId="0" fontId="0" fillId="0" borderId="2" xfId="0" applyBorder="1" applyAlignment="1">
      <alignment wrapText="1"/>
    </xf>
    <xf numFmtId="0" fontId="0" fillId="6" borderId="0" xfId="0" applyFill="1"/>
    <xf numFmtId="0" fontId="0" fillId="0" borderId="0" xfId="0" applyBorder="1"/>
    <xf numFmtId="2" fontId="0" fillId="0" borderId="0" xfId="0" applyNumberFormat="1" applyBorder="1"/>
    <xf numFmtId="9" fontId="0" fillId="0" borderId="0" xfId="0" applyNumberFormat="1" applyBorder="1"/>
  </cellXfs>
  <cellStyles count="3">
    <cellStyle name="Normal" xfId="0" builtinId="0"/>
    <cellStyle name="Normal 3" xfId="2" xr:uid="{4401BCE0-6C3D-4C00-83B4-A0DE625C8B60}"/>
    <cellStyle name="Percent" xfId="1" builtinId="5"/>
  </cellStyles>
  <dxfs count="32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2" formatCode="0.00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2" formatCode="0.0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2" formatCode="0.0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4" formatCode="0.0"/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fill>
        <patternFill patternType="none">
          <fgColor indexed="64"/>
          <bgColor indexed="65"/>
        </patternFill>
      </fill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'Objective 4'!$C$327</c:f>
              <c:strCache>
                <c:ptCount val="1"/>
                <c:pt idx="0">
                  <c:v>Fitted Ln(Mkt Cap)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'Objective 4'!$B$328:$B$348</c:f>
              <c:numCache>
                <c:formatCode>General</c:formatCode>
                <c:ptCount val="2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</c:numCache>
            </c:numRef>
          </c:xVal>
          <c:yVal>
            <c:numRef>
              <c:f>'Objective 4'!$C$328:$C$348</c:f>
              <c:numCache>
                <c:formatCode>General</c:formatCode>
                <c:ptCount val="21"/>
                <c:pt idx="0">
                  <c:v>8.8779000000000003</c:v>
                </c:pt>
                <c:pt idx="1">
                  <c:v>9.0774000000000008</c:v>
                </c:pt>
                <c:pt idx="2">
                  <c:v>9.2636000000000003</c:v>
                </c:pt>
                <c:pt idx="3">
                  <c:v>9.4365000000000006</c:v>
                </c:pt>
                <c:pt idx="4">
                  <c:v>9.5960999999999999</c:v>
                </c:pt>
                <c:pt idx="5">
                  <c:v>9.7423999999999999</c:v>
                </c:pt>
                <c:pt idx="6">
                  <c:v>9.8752999999999993</c:v>
                </c:pt>
                <c:pt idx="7">
                  <c:v>9.9948999999999995</c:v>
                </c:pt>
                <c:pt idx="8">
                  <c:v>10.1013</c:v>
                </c:pt>
                <c:pt idx="9">
                  <c:v>10.1943</c:v>
                </c:pt>
                <c:pt idx="10">
                  <c:v>10.273899999999999</c:v>
                </c:pt>
                <c:pt idx="11">
                  <c:v>10.340299999999999</c:v>
                </c:pt>
                <c:pt idx="12">
                  <c:v>10.3934</c:v>
                </c:pt>
                <c:pt idx="13">
                  <c:v>10.4331</c:v>
                </c:pt>
                <c:pt idx="14">
                  <c:v>10.4595</c:v>
                </c:pt>
                <c:pt idx="15">
                  <c:v>10.4726</c:v>
                </c:pt>
                <c:pt idx="16">
                  <c:v>10.4724</c:v>
                </c:pt>
                <c:pt idx="17">
                  <c:v>10.4589</c:v>
                </c:pt>
                <c:pt idx="18">
                  <c:v>10.432</c:v>
                </c:pt>
                <c:pt idx="19">
                  <c:v>10.3919</c:v>
                </c:pt>
                <c:pt idx="20">
                  <c:v>10.3384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8-439E-ADC8-4D636F1C8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252336"/>
        <c:axId val="409255216"/>
      </c:scatterChart>
      <c:valAx>
        <c:axId val="40925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55216"/>
        <c:crosses val="autoZero"/>
        <c:crossBetween val="midCat"/>
      </c:valAx>
      <c:valAx>
        <c:axId val="4092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25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5'!$D$2</c:f>
              <c:strCache>
                <c:ptCount val="1"/>
                <c:pt idx="0">
                  <c:v>Avg Efficiency
(ΔMktCap/Capex)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'Objective 5'!$C$3:$C$8</c:f>
              <c:strCache>
                <c:ptCount val="6"/>
                <c:pt idx="0">
                  <c:v>Railways</c:v>
                </c:pt>
                <c:pt idx="1">
                  <c:v>EPC</c:v>
                </c:pt>
                <c:pt idx="2">
                  <c:v>Utilities</c:v>
                </c:pt>
                <c:pt idx="3">
                  <c:v>Ports</c:v>
                </c:pt>
                <c:pt idx="4">
                  <c:v>Roads</c:v>
                </c:pt>
                <c:pt idx="5">
                  <c:v>Power</c:v>
                </c:pt>
              </c:strCache>
            </c:strRef>
          </c:cat>
          <c:val>
            <c:numRef>
              <c:f>'Objective 5'!$D$3:$D$8</c:f>
              <c:numCache>
                <c:formatCode>0.00</c:formatCode>
                <c:ptCount val="6"/>
                <c:pt idx="0">
                  <c:v>15.64</c:v>
                </c:pt>
                <c:pt idx="1">
                  <c:v>5.0199999999999996</c:v>
                </c:pt>
                <c:pt idx="2">
                  <c:v>4.67</c:v>
                </c:pt>
                <c:pt idx="3">
                  <c:v>4.33</c:v>
                </c:pt>
                <c:pt idx="4">
                  <c:v>2.38</c:v>
                </c:pt>
                <c:pt idx="5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1-499C-951C-59003B8B2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003151"/>
        <c:axId val="251005551"/>
      </c:barChart>
      <c:catAx>
        <c:axId val="2510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05551"/>
        <c:crosses val="autoZero"/>
        <c:auto val="1"/>
        <c:lblAlgn val="ctr"/>
        <c:lblOffset val="100"/>
        <c:noMultiLvlLbl val="0"/>
      </c:catAx>
      <c:valAx>
        <c:axId val="2510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328</xdr:row>
      <xdr:rowOff>163830</xdr:rowOff>
    </xdr:from>
    <xdr:to>
      <xdr:col>7</xdr:col>
      <xdr:colOff>937260</xdr:colOff>
      <xdr:row>342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B5967-C918-D978-ED18-EAFDA6362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9</xdr:row>
      <xdr:rowOff>41910</xdr:rowOff>
    </xdr:from>
    <xdr:to>
      <xdr:col>5</xdr:col>
      <xdr:colOff>739140</xdr:colOff>
      <xdr:row>24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65A08-60A7-4E99-B8D9-7C552ABF8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3E0F8-624E-4425-8C55-AC9D078D3E27}" name="Table1" displayName="Table1" ref="B2:P252" totalsRowShown="0" headerRowDxfId="31" dataDxfId="29" headerRowBorderDxfId="30" tableBorderDxfId="28">
  <autoFilter ref="B2:P252" xr:uid="{DF03E0F8-624E-4425-8C55-AC9D078D3E27}"/>
  <tableColumns count="15">
    <tableColumn id="1" xr3:uid="{676DB0A6-B39C-4F5A-9067-9D27C0A398A7}" name="Year" dataDxfId="27"/>
    <tableColumn id="2" xr3:uid="{B9553BF1-D6FB-40C7-9260-C0A6CB78D990}" name="No." dataDxfId="26"/>
    <tableColumn id="3" xr3:uid="{0F652A85-783A-4CEE-991C-F4A6D6086C3E}" name="Company" dataDxfId="25"/>
    <tableColumn id="4" xr3:uid="{2F5AE8C0-32AD-40DF-B793-537203F5CE9B}" name="Sub-Sector" dataDxfId="24"/>
    <tableColumn id="5" xr3:uid="{B3213176-9845-4FA1-BCB6-446E06C44D14}" name="Sub-Sector Group" dataDxfId="23"/>
    <tableColumn id="6" xr3:uid="{ED6AE7B6-62C8-4935-AACF-33669E882988}" name="Mkt Cap_x000a_(₹ Cr)" dataDxfId="22"/>
    <tableColumn id="7" xr3:uid="{66C00491-4487-4230-BCAB-9A47C8241AA2}" name="Capex_x000a_(₹ Cr)" dataDxfId="21"/>
    <tableColumn id="8" xr3:uid="{33C54368-94C9-4538-9E52-6D778DDC7943}" name="Capex/_x000a_Assets" dataDxfId="20"/>
    <tableColumn id="9" xr3:uid="{9FD0B432-B661-4D31-9661-6B8C50664C31}" name="P/E_x000a_Ratio" dataDxfId="19"/>
    <tableColumn id="11" xr3:uid="{8C2FF20D-548A-43C3-9FB2-EE8AA282BB40}" name="D/E_x000a_Ratio" dataDxfId="18"/>
    <tableColumn id="17" xr3:uid="{9CF05B15-EC7C-45D6-8A99-E70C9F2CB12F}" name="ROCE" dataDxfId="17"/>
    <tableColumn id="12" xr3:uid="{E2CA918B-AC62-4B15-B8A8-0453F573282D}" name="GDP_x000a_Growth%" dataDxfId="16"/>
    <tableColumn id="13" xr3:uid="{41CCDEAD-58EE-4D85-8EF7-26CA9A60B918}" name="Repo_x000a_Rate%" dataDxfId="15"/>
    <tableColumn id="15" xr3:uid="{FAA090D5-A60D-43EE-9B69-32CC971950B7}" name="Gov Capex_x000a_(₹ lakh cr)" dataDxfId="14"/>
    <tableColumn id="16" xr3:uid="{FFCB066B-191D-4ABE-AA68-15FBB7D2B0C1}" name="Ln(Mkt_x000a_Cap)" dataDxfId="13">
      <calculatedColumnFormula>LN(G3)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ADDC10-C461-4C83-A13F-C4C712A74433}" name="Table2" displayName="Table2" ref="C27:K277" totalsRowShown="0" headerRowDxfId="0" headerRowBorderDxfId="11" tableBorderDxfId="12" totalsRowBorderDxfId="10">
  <autoFilter ref="C27:K277" xr:uid="{15ADDC10-C461-4C83-A13F-C4C712A74433}"/>
  <tableColumns count="9">
    <tableColumn id="1" xr3:uid="{9772747B-5560-4536-BE8B-E6468D2F1BA8}" name="Year" dataDxfId="9"/>
    <tableColumn id="2" xr3:uid="{29C9AA42-1C09-4518-BC9B-4B450C04EBD3}" name="Company" dataDxfId="8"/>
    <tableColumn id="3" xr3:uid="{06FD3156-443A-4F2E-A421-2E8FFBAE6036}" name="Sub-sector" dataDxfId="7"/>
    <tableColumn id="4" xr3:uid="{F011DD02-C443-4132-89C5-33B87223B08C}" name="Market cap" dataDxfId="6"/>
    <tableColumn id="5" xr3:uid="{BA3EDA58-BFE4-48EF-9208-41D0DCFA2149}" name="Chang e in Market cap" dataDxfId="5">
      <calculatedColumnFormula>F28-F27</calculatedColumnFormula>
    </tableColumn>
    <tableColumn id="6" xr3:uid="{FC5FD2D8-7D41-480C-8888-B11E70BD2070}" name="Capex" dataDxfId="4"/>
    <tableColumn id="7" xr3:uid="{8BBC4B8D-D4C6-4B5D-B81C-FB84819F8E42}" name="Efficiency ratio" dataDxfId="3">
      <calculatedColumnFormula>G28/H28</calculatedColumnFormula>
    </tableColumn>
    <tableColumn id="8" xr3:uid="{7D87CB4F-668E-4CF6-BE7D-4F90F86E525C}" name="Capex/_x000a_Assets" dataDxfId="2"/>
    <tableColumn id="9" xr3:uid="{F7690DBC-96C1-4820-AC70-4310C18ED47E}" name="Ln(Mkt_x000a_Cap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6D54-5FFE-4374-BD24-70BC90444F2E}">
  <dimension ref="A1:AB282"/>
  <sheetViews>
    <sheetView tabSelected="1" topLeftCell="A2" zoomScale="88" zoomScaleNormal="70" workbookViewId="0">
      <pane xSplit="6" ySplit="1" topLeftCell="G188" activePane="bottomRight" state="frozen"/>
      <selection activeCell="A2" sqref="A2"/>
      <selection pane="topRight" activeCell="G2" sqref="G2"/>
      <selection pane="bottomLeft" activeCell="A3" sqref="A3"/>
      <selection pane="bottomRight" activeCell="F63" sqref="F63"/>
    </sheetView>
  </sheetViews>
  <sheetFormatPr defaultRowHeight="14.4" x14ac:dyDescent="0.3"/>
  <cols>
    <col min="1" max="1" width="2.21875" customWidth="1"/>
    <col min="4" max="4" width="23.109375" bestFit="1" customWidth="1"/>
    <col min="5" max="5" width="17.6640625" bestFit="1" customWidth="1"/>
    <col min="6" max="6" width="17.6640625" customWidth="1"/>
    <col min="7" max="7" width="11.6640625" bestFit="1" customWidth="1"/>
    <col min="8" max="8" width="10.5546875" bestFit="1" customWidth="1"/>
    <col min="14" max="18" width="8.88671875" customWidth="1"/>
    <col min="25" max="25" width="9.5546875" bestFit="1" customWidth="1"/>
  </cols>
  <sheetData>
    <row r="1" spans="1:20" x14ac:dyDescent="0.3">
      <c r="M1" t="s">
        <v>134</v>
      </c>
    </row>
    <row r="2" spans="1:20" ht="36" x14ac:dyDescent="0.3">
      <c r="A2" s="13" t="s">
        <v>88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67</v>
      </c>
      <c r="G2" s="15" t="s">
        <v>4</v>
      </c>
      <c r="H2" s="15" t="s">
        <v>5</v>
      </c>
      <c r="I2" s="15" t="s">
        <v>6</v>
      </c>
      <c r="J2" s="15" t="s">
        <v>7</v>
      </c>
      <c r="K2" s="15" t="s">
        <v>9</v>
      </c>
      <c r="L2" s="50" t="s">
        <v>134</v>
      </c>
      <c r="M2" s="15" t="s">
        <v>10</v>
      </c>
      <c r="N2" s="15" t="s">
        <v>11</v>
      </c>
      <c r="O2" s="15" t="s">
        <v>12</v>
      </c>
      <c r="P2" s="16" t="s">
        <v>13</v>
      </c>
    </row>
    <row r="3" spans="1:20" s="1" customFormat="1" x14ac:dyDescent="0.3">
      <c r="B3" s="58" t="s">
        <v>181</v>
      </c>
      <c r="C3" s="58">
        <v>1</v>
      </c>
      <c r="D3" s="58" t="s">
        <v>15</v>
      </c>
      <c r="E3" s="58" t="s">
        <v>16</v>
      </c>
      <c r="F3" s="58" t="s">
        <v>68</v>
      </c>
      <c r="G3" s="59">
        <v>1820</v>
      </c>
      <c r="H3" s="59">
        <v>28</v>
      </c>
      <c r="I3" s="60">
        <v>1.4200000000000001E-2</v>
      </c>
      <c r="J3" s="61">
        <v>6.2</v>
      </c>
      <c r="K3" s="60">
        <v>0</v>
      </c>
      <c r="L3" s="60">
        <v>0.12</v>
      </c>
      <c r="M3" s="58">
        <v>8</v>
      </c>
      <c r="N3" s="60">
        <v>6.75</v>
      </c>
      <c r="O3" s="60">
        <v>2.41</v>
      </c>
      <c r="P3" s="65">
        <f>LN(G3)</f>
        <v>7.506591780070841</v>
      </c>
    </row>
    <row r="4" spans="1:20" x14ac:dyDescent="0.3">
      <c r="B4" s="58" t="s">
        <v>182</v>
      </c>
      <c r="C4" s="58">
        <v>1</v>
      </c>
      <c r="D4" s="58" t="s">
        <v>15</v>
      </c>
      <c r="E4" s="58" t="s">
        <v>16</v>
      </c>
      <c r="F4" s="58" t="s">
        <v>68</v>
      </c>
      <c r="G4" s="59">
        <v>2100</v>
      </c>
      <c r="H4" s="59">
        <v>32</v>
      </c>
      <c r="I4" s="60">
        <v>1.55E-2</v>
      </c>
      <c r="J4" s="61">
        <v>6.8</v>
      </c>
      <c r="K4" s="60">
        <v>0</v>
      </c>
      <c r="L4" s="60">
        <v>0.13</v>
      </c>
      <c r="M4" s="58">
        <v>8.3000000000000007</v>
      </c>
      <c r="N4" s="60">
        <v>6.25</v>
      </c>
      <c r="O4" s="60">
        <v>2.74</v>
      </c>
      <c r="P4" s="65">
        <f t="shared" ref="P4:P67" si="0">LN(G4)</f>
        <v>7.6496926237115144</v>
      </c>
    </row>
    <row r="5" spans="1:20" x14ac:dyDescent="0.3">
      <c r="B5" s="58" t="s">
        <v>183</v>
      </c>
      <c r="C5" s="58">
        <v>1</v>
      </c>
      <c r="D5" s="58" t="s">
        <v>15</v>
      </c>
      <c r="E5" s="58" t="s">
        <v>16</v>
      </c>
      <c r="F5" s="58" t="s">
        <v>68</v>
      </c>
      <c r="G5" s="59">
        <v>2450</v>
      </c>
      <c r="H5" s="59">
        <v>36</v>
      </c>
      <c r="I5" s="60">
        <v>1.6799999999999999E-2</v>
      </c>
      <c r="J5" s="61">
        <v>7</v>
      </c>
      <c r="K5" s="60">
        <v>0</v>
      </c>
      <c r="L5" s="60">
        <v>0.14000000000000001</v>
      </c>
      <c r="M5" s="58">
        <v>6.8</v>
      </c>
      <c r="N5" s="60">
        <v>6</v>
      </c>
      <c r="O5" s="60">
        <v>3.09</v>
      </c>
      <c r="P5" s="65">
        <f t="shared" si="0"/>
        <v>7.8038433035387724</v>
      </c>
    </row>
    <row r="6" spans="1:20" x14ac:dyDescent="0.3">
      <c r="B6" s="58" t="s">
        <v>184</v>
      </c>
      <c r="C6" s="58">
        <v>1</v>
      </c>
      <c r="D6" s="58" t="s">
        <v>15</v>
      </c>
      <c r="E6" s="58" t="s">
        <v>16</v>
      </c>
      <c r="F6" s="58" t="s">
        <v>68</v>
      </c>
      <c r="G6" s="59">
        <v>2680</v>
      </c>
      <c r="H6" s="59">
        <v>38</v>
      </c>
      <c r="I6" s="60">
        <v>1.7500000000000002E-2</v>
      </c>
      <c r="J6" s="61">
        <v>6.5</v>
      </c>
      <c r="K6" s="60">
        <v>0</v>
      </c>
      <c r="L6" s="60">
        <v>0.14000000000000001</v>
      </c>
      <c r="M6" s="58">
        <v>6.5</v>
      </c>
      <c r="N6" s="60">
        <v>6.25</v>
      </c>
      <c r="O6" s="60">
        <v>3.36</v>
      </c>
      <c r="P6" s="65">
        <f t="shared" si="0"/>
        <v>7.8935720735049024</v>
      </c>
    </row>
    <row r="7" spans="1:20" x14ac:dyDescent="0.3">
      <c r="B7" s="58" t="s">
        <v>185</v>
      </c>
      <c r="C7" s="58">
        <v>1</v>
      </c>
      <c r="D7" s="58" t="s">
        <v>15</v>
      </c>
      <c r="E7" s="58" t="s">
        <v>16</v>
      </c>
      <c r="F7" s="58" t="s">
        <v>68</v>
      </c>
      <c r="G7" s="59">
        <v>2200</v>
      </c>
      <c r="H7" s="59">
        <v>39</v>
      </c>
      <c r="I7" s="60">
        <v>1.7999999999999999E-2</v>
      </c>
      <c r="J7" s="61">
        <v>5.8</v>
      </c>
      <c r="K7" s="60">
        <v>0</v>
      </c>
      <c r="L7" s="60">
        <v>0.13</v>
      </c>
      <c r="M7" s="58">
        <v>4</v>
      </c>
      <c r="N7" s="60">
        <v>5.15</v>
      </c>
      <c r="O7" s="60">
        <v>3.36</v>
      </c>
      <c r="P7" s="65">
        <f t="shared" si="0"/>
        <v>7.696212639346407</v>
      </c>
    </row>
    <row r="8" spans="1:20" x14ac:dyDescent="0.3">
      <c r="B8" s="58" t="s">
        <v>186</v>
      </c>
      <c r="C8" s="58">
        <v>1</v>
      </c>
      <c r="D8" s="58" t="s">
        <v>15</v>
      </c>
      <c r="E8" s="58" t="s">
        <v>16</v>
      </c>
      <c r="F8" s="58" t="s">
        <v>68</v>
      </c>
      <c r="G8" s="59">
        <v>3100</v>
      </c>
      <c r="H8" s="59">
        <v>40</v>
      </c>
      <c r="I8" s="60">
        <v>1.8499999999999999E-2</v>
      </c>
      <c r="J8" s="61">
        <v>6.8</v>
      </c>
      <c r="K8" s="60">
        <v>0</v>
      </c>
      <c r="L8" s="60">
        <v>0.13</v>
      </c>
      <c r="M8" s="61">
        <v>7.3</v>
      </c>
      <c r="N8" s="60">
        <v>4</v>
      </c>
      <c r="O8" s="60">
        <v>4.3899999999999997</v>
      </c>
      <c r="P8" s="65">
        <f t="shared" si="0"/>
        <v>8.0391573904732372</v>
      </c>
    </row>
    <row r="9" spans="1:20" x14ac:dyDescent="0.3">
      <c r="B9" s="62" t="s">
        <v>14</v>
      </c>
      <c r="C9" s="62">
        <v>1</v>
      </c>
      <c r="D9" s="62" t="s">
        <v>15</v>
      </c>
      <c r="E9" s="62" t="s">
        <v>16</v>
      </c>
      <c r="F9" s="62" t="s">
        <v>68</v>
      </c>
      <c r="G9" s="63">
        <v>3743</v>
      </c>
      <c r="H9" s="63">
        <f>0.41*100</f>
        <v>41</v>
      </c>
      <c r="I9" s="57">
        <v>1.89E-2</v>
      </c>
      <c r="J9" s="64">
        <v>7.4</v>
      </c>
      <c r="K9" s="57">
        <v>0</v>
      </c>
      <c r="L9" s="57">
        <v>0.14000000000000001</v>
      </c>
      <c r="M9" s="64">
        <v>8.6999999999999993</v>
      </c>
      <c r="N9" s="57">
        <v>4</v>
      </c>
      <c r="O9" s="57">
        <v>5.54</v>
      </c>
      <c r="P9" s="65">
        <f t="shared" si="0"/>
        <v>8.2276427079044296</v>
      </c>
    </row>
    <row r="10" spans="1:20" x14ac:dyDescent="0.3">
      <c r="B10" s="66" t="s">
        <v>64</v>
      </c>
      <c r="C10" s="66">
        <v>1</v>
      </c>
      <c r="D10" s="66" t="s">
        <v>15</v>
      </c>
      <c r="E10" s="66" t="s">
        <v>16</v>
      </c>
      <c r="F10" s="66" t="s">
        <v>68</v>
      </c>
      <c r="G10" s="8">
        <v>5266</v>
      </c>
      <c r="H10" s="8">
        <v>100</v>
      </c>
      <c r="I10" s="3">
        <v>2.12E-2</v>
      </c>
      <c r="J10" s="6">
        <v>7</v>
      </c>
      <c r="K10" s="3">
        <v>0</v>
      </c>
      <c r="L10" s="3">
        <v>0.16</v>
      </c>
      <c r="M10" s="6">
        <v>7.2</v>
      </c>
      <c r="N10" s="3">
        <v>6.5</v>
      </c>
      <c r="O10" s="3">
        <v>7.5</v>
      </c>
      <c r="P10" s="65">
        <f t="shared" si="0"/>
        <v>8.5690263400562543</v>
      </c>
    </row>
    <row r="11" spans="1:20" x14ac:dyDescent="0.3">
      <c r="B11" s="66" t="s">
        <v>65</v>
      </c>
      <c r="C11" s="66">
        <v>1</v>
      </c>
      <c r="D11" s="66" t="s">
        <v>15</v>
      </c>
      <c r="E11" s="66" t="s">
        <v>16</v>
      </c>
      <c r="F11" s="66" t="s">
        <v>68</v>
      </c>
      <c r="G11" s="8">
        <v>20658.43</v>
      </c>
      <c r="H11" s="8">
        <v>848</v>
      </c>
      <c r="I11" s="3">
        <v>2.5499999999999998E-2</v>
      </c>
      <c r="J11" s="6">
        <v>24.1</v>
      </c>
      <c r="K11" s="3">
        <v>5.5999999999999995E-4</v>
      </c>
      <c r="L11" s="3">
        <v>0.18</v>
      </c>
      <c r="M11" s="6">
        <v>8.1999999999999993</v>
      </c>
      <c r="N11" s="3">
        <v>6.5</v>
      </c>
      <c r="O11" s="3">
        <v>10</v>
      </c>
      <c r="P11" s="65">
        <f t="shared" si="0"/>
        <v>9.9358787475305057</v>
      </c>
    </row>
    <row r="12" spans="1:20" x14ac:dyDescent="0.3">
      <c r="B12" s="66" t="s">
        <v>66</v>
      </c>
      <c r="C12" s="66">
        <v>1</v>
      </c>
      <c r="D12" s="66" t="s">
        <v>15</v>
      </c>
      <c r="E12" s="66" t="s">
        <v>16</v>
      </c>
      <c r="F12" s="66" t="s">
        <v>68</v>
      </c>
      <c r="G12" s="8">
        <v>14717</v>
      </c>
      <c r="H12" s="8">
        <v>1052</v>
      </c>
      <c r="I12" s="3">
        <f>923/H12/100</f>
        <v>8.7737642585551338E-3</v>
      </c>
      <c r="J12" s="6">
        <v>20.100000000000001</v>
      </c>
      <c r="K12" s="3">
        <v>5.4000000000000001E-4</v>
      </c>
      <c r="L12" s="3">
        <v>0.12</v>
      </c>
      <c r="M12" s="6">
        <v>6.5</v>
      </c>
      <c r="N12" s="3">
        <v>6.25</v>
      </c>
      <c r="O12" s="3">
        <v>10.52</v>
      </c>
      <c r="P12" s="65">
        <f t="shared" si="0"/>
        <v>9.5967585671641125</v>
      </c>
    </row>
    <row r="13" spans="1:20" x14ac:dyDescent="0.3">
      <c r="B13" s="58" t="s">
        <v>181</v>
      </c>
      <c r="C13" s="66">
        <v>2</v>
      </c>
      <c r="D13" s="66" t="s">
        <v>18</v>
      </c>
      <c r="E13" s="66" t="s">
        <v>17</v>
      </c>
      <c r="F13" s="66" t="s">
        <v>69</v>
      </c>
      <c r="G13" s="8">
        <v>95000</v>
      </c>
      <c r="H13" s="8">
        <v>16800</v>
      </c>
      <c r="I13" s="3">
        <v>7.1999999999999995E-2</v>
      </c>
      <c r="J13" s="6">
        <v>11.2</v>
      </c>
      <c r="K13" s="3">
        <v>1.58</v>
      </c>
      <c r="L13" s="3">
        <v>8.5000000000000006E-2</v>
      </c>
      <c r="M13" s="6">
        <v>8</v>
      </c>
      <c r="N13" s="3">
        <v>6.75</v>
      </c>
      <c r="O13" s="3">
        <v>2.41</v>
      </c>
      <c r="P13" s="65">
        <f t="shared" si="0"/>
        <v>11.461632170582678</v>
      </c>
    </row>
    <row r="14" spans="1:20" x14ac:dyDescent="0.3">
      <c r="B14" s="58" t="s">
        <v>182</v>
      </c>
      <c r="C14" s="66">
        <v>2</v>
      </c>
      <c r="D14" s="66" t="s">
        <v>18</v>
      </c>
      <c r="E14" s="66" t="s">
        <v>17</v>
      </c>
      <c r="F14" s="66" t="s">
        <v>69</v>
      </c>
      <c r="G14" s="8">
        <v>98000</v>
      </c>
      <c r="H14" s="8">
        <v>17500</v>
      </c>
      <c r="I14" s="3">
        <v>7.3999999999999996E-2</v>
      </c>
      <c r="J14" s="6">
        <v>10.8</v>
      </c>
      <c r="K14" s="3">
        <v>1.52</v>
      </c>
      <c r="L14" s="3">
        <v>8.7999999999999995E-2</v>
      </c>
      <c r="M14" s="6">
        <v>8.3000000000000007</v>
      </c>
      <c r="N14" s="3">
        <v>6.25</v>
      </c>
      <c r="O14" s="3">
        <v>2.74</v>
      </c>
      <c r="P14" s="65">
        <f t="shared" si="0"/>
        <v>11.492722757652709</v>
      </c>
    </row>
    <row r="15" spans="1:20" x14ac:dyDescent="0.3">
      <c r="B15" s="58" t="s">
        <v>183</v>
      </c>
      <c r="C15" s="66">
        <v>2</v>
      </c>
      <c r="D15" s="66" t="s">
        <v>18</v>
      </c>
      <c r="E15" s="66" t="s">
        <v>17</v>
      </c>
      <c r="F15" s="66" t="s">
        <v>69</v>
      </c>
      <c r="G15" s="8">
        <v>107000</v>
      </c>
      <c r="H15" s="8">
        <v>18600</v>
      </c>
      <c r="I15" s="3">
        <v>7.8E-2</v>
      </c>
      <c r="J15" s="6">
        <v>11.5</v>
      </c>
      <c r="K15" s="3">
        <v>1.48</v>
      </c>
      <c r="L15" s="3">
        <v>0.09</v>
      </c>
      <c r="M15" s="6">
        <v>6.8</v>
      </c>
      <c r="N15" s="3">
        <v>6</v>
      </c>
      <c r="O15" s="3">
        <v>3.09</v>
      </c>
      <c r="P15" s="65">
        <f t="shared" si="0"/>
        <v>11.580584113444043</v>
      </c>
    </row>
    <row r="16" spans="1:20" x14ac:dyDescent="0.3">
      <c r="B16" s="58" t="s">
        <v>184</v>
      </c>
      <c r="C16" s="66">
        <v>2</v>
      </c>
      <c r="D16" s="66" t="s">
        <v>18</v>
      </c>
      <c r="E16" s="66" t="s">
        <v>17</v>
      </c>
      <c r="F16" s="66" t="s">
        <v>69</v>
      </c>
      <c r="G16" s="8">
        <v>116000</v>
      </c>
      <c r="H16" s="8">
        <v>19200</v>
      </c>
      <c r="I16" s="3">
        <v>8.1000000000000003E-2</v>
      </c>
      <c r="J16" s="6">
        <v>10.9</v>
      </c>
      <c r="K16" s="3">
        <v>1.44</v>
      </c>
      <c r="L16" s="3">
        <v>9.1999999999999998E-2</v>
      </c>
      <c r="M16" s="6">
        <v>6.5</v>
      </c>
      <c r="N16" s="3">
        <v>6.25</v>
      </c>
      <c r="O16" s="3">
        <v>3.36</v>
      </c>
      <c r="P16" s="65">
        <f t="shared" si="0"/>
        <v>11.661345470088502</v>
      </c>
      <c r="S16" s="17"/>
      <c r="T16" s="17"/>
    </row>
    <row r="17" spans="2:24" x14ac:dyDescent="0.3">
      <c r="B17" s="58" t="s">
        <v>185</v>
      </c>
      <c r="C17" s="66">
        <v>2</v>
      </c>
      <c r="D17" s="66" t="s">
        <v>18</v>
      </c>
      <c r="E17" s="66" t="s">
        <v>17</v>
      </c>
      <c r="F17" s="66" t="s">
        <v>69</v>
      </c>
      <c r="G17" s="8">
        <v>100000</v>
      </c>
      <c r="H17" s="8">
        <v>20000</v>
      </c>
      <c r="I17" s="3">
        <v>8.4000000000000005E-2</v>
      </c>
      <c r="J17" s="6">
        <v>10.1</v>
      </c>
      <c r="K17" s="3">
        <v>1.5</v>
      </c>
      <c r="L17" s="3">
        <v>8.5000000000000006E-2</v>
      </c>
      <c r="M17" s="6">
        <v>4</v>
      </c>
      <c r="N17" s="3">
        <v>5.15</v>
      </c>
      <c r="O17" s="3">
        <v>3.36</v>
      </c>
      <c r="P17" s="65">
        <f t="shared" si="0"/>
        <v>11.512925464970229</v>
      </c>
    </row>
    <row r="18" spans="2:24" x14ac:dyDescent="0.3">
      <c r="B18" s="58" t="s">
        <v>186</v>
      </c>
      <c r="C18" s="66">
        <v>2</v>
      </c>
      <c r="D18" s="66" t="s">
        <v>18</v>
      </c>
      <c r="E18" s="66" t="s">
        <v>17</v>
      </c>
      <c r="F18" s="66" t="s">
        <v>69</v>
      </c>
      <c r="G18" s="8">
        <v>110000</v>
      </c>
      <c r="H18" s="8">
        <v>20339</v>
      </c>
      <c r="I18" s="3">
        <v>8.5999999999999993E-2</v>
      </c>
      <c r="J18" s="6">
        <v>11</v>
      </c>
      <c r="K18" s="3">
        <v>1.55</v>
      </c>
      <c r="L18" s="3">
        <v>8.6999999999999994E-2</v>
      </c>
      <c r="M18" s="61">
        <v>7.3</v>
      </c>
      <c r="N18" s="3">
        <v>4</v>
      </c>
      <c r="O18" s="3">
        <v>4.3899999999999997</v>
      </c>
      <c r="P18" s="65">
        <f t="shared" si="0"/>
        <v>11.608235644774552</v>
      </c>
    </row>
    <row r="19" spans="2:24" x14ac:dyDescent="0.3">
      <c r="B19" s="66" t="s">
        <v>14</v>
      </c>
      <c r="C19" s="66">
        <f>C9+1</f>
        <v>2</v>
      </c>
      <c r="D19" s="66" t="s">
        <v>18</v>
      </c>
      <c r="E19" s="66" t="s">
        <v>17</v>
      </c>
      <c r="F19" s="66" t="s">
        <v>69</v>
      </c>
      <c r="G19" s="8">
        <v>130857</v>
      </c>
      <c r="H19" s="8">
        <v>21035</v>
      </c>
      <c r="I19" s="3">
        <f>H19/371140</f>
        <v>5.6676725763862693E-2</v>
      </c>
      <c r="J19" s="6">
        <v>8.6</v>
      </c>
      <c r="K19" s="3">
        <v>1.43</v>
      </c>
      <c r="L19" s="3">
        <v>0.09</v>
      </c>
      <c r="M19" s="6">
        <v>8.6999999999999993</v>
      </c>
      <c r="N19" s="3">
        <v>4</v>
      </c>
      <c r="O19" s="3">
        <v>5.54</v>
      </c>
      <c r="P19" s="65">
        <f t="shared" si="0"/>
        <v>11.781860402897301</v>
      </c>
    </row>
    <row r="20" spans="2:24" x14ac:dyDescent="0.3">
      <c r="B20" s="66" t="s">
        <v>64</v>
      </c>
      <c r="C20" s="66">
        <f>C10+1</f>
        <v>2</v>
      </c>
      <c r="D20" s="66" t="s">
        <v>18</v>
      </c>
      <c r="E20" s="66" t="s">
        <v>17</v>
      </c>
      <c r="F20" s="66" t="s">
        <v>69</v>
      </c>
      <c r="G20" s="8">
        <v>169934</v>
      </c>
      <c r="H20" s="8">
        <v>22823</v>
      </c>
      <c r="I20" s="3">
        <f>H20/382387</f>
        <v>5.9685606466747039E-2</v>
      </c>
      <c r="J20" s="6">
        <v>9.9</v>
      </c>
      <c r="K20" s="3">
        <v>1.33</v>
      </c>
      <c r="L20" s="3">
        <v>0.1</v>
      </c>
      <c r="M20" s="6">
        <v>7.2</v>
      </c>
      <c r="N20" s="3">
        <v>6.5</v>
      </c>
      <c r="O20" s="3">
        <v>7.5</v>
      </c>
      <c r="P20" s="65">
        <f t="shared" si="0"/>
        <v>12.043165405355447</v>
      </c>
    </row>
    <row r="21" spans="2:24" x14ac:dyDescent="0.3">
      <c r="B21" s="66" t="s">
        <v>65</v>
      </c>
      <c r="C21" s="66">
        <f>C11+1</f>
        <v>2</v>
      </c>
      <c r="D21" s="66" t="s">
        <v>18</v>
      </c>
      <c r="E21" s="66" t="s">
        <v>17</v>
      </c>
      <c r="F21" s="66" t="s">
        <v>69</v>
      </c>
      <c r="G21" s="8">
        <v>325759</v>
      </c>
      <c r="H21" s="8">
        <v>35385</v>
      </c>
      <c r="I21" s="3">
        <f>H21/393294</f>
        <v>8.9970861492928961E-2</v>
      </c>
      <c r="J21" s="6">
        <v>16.7</v>
      </c>
      <c r="K21" s="3">
        <v>1.25</v>
      </c>
      <c r="L21" s="3">
        <v>0.1</v>
      </c>
      <c r="M21" s="6">
        <v>8.1999999999999993</v>
      </c>
      <c r="N21" s="3">
        <v>6.5</v>
      </c>
      <c r="O21" s="3">
        <v>10</v>
      </c>
      <c r="P21" s="65">
        <f t="shared" si="0"/>
        <v>12.693913123154932</v>
      </c>
    </row>
    <row r="22" spans="2:24" x14ac:dyDescent="0.3">
      <c r="B22" s="66" t="s">
        <v>66</v>
      </c>
      <c r="C22" s="66">
        <f>C12+1</f>
        <v>2</v>
      </c>
      <c r="D22" s="66" t="s">
        <v>18</v>
      </c>
      <c r="E22" s="66" t="s">
        <v>17</v>
      </c>
      <c r="F22" s="66" t="s">
        <v>69</v>
      </c>
      <c r="G22" s="8">
        <v>346801</v>
      </c>
      <c r="H22" s="8">
        <v>48594</v>
      </c>
      <c r="I22" s="3">
        <f>H22/407917</f>
        <v>0.11912717538126628</v>
      </c>
      <c r="J22" s="6">
        <v>15.5</v>
      </c>
      <c r="K22" s="3">
        <v>1.1499999999999999</v>
      </c>
      <c r="L22" s="3">
        <v>0.1</v>
      </c>
      <c r="M22" s="6">
        <v>6.5</v>
      </c>
      <c r="N22" s="3">
        <v>6.25</v>
      </c>
      <c r="O22" s="3">
        <v>10.52</v>
      </c>
      <c r="P22" s="65">
        <f t="shared" si="0"/>
        <v>12.75650640739071</v>
      </c>
    </row>
    <row r="23" spans="2:24" x14ac:dyDescent="0.3">
      <c r="B23" s="58" t="s">
        <v>181</v>
      </c>
      <c r="C23" s="66">
        <v>3</v>
      </c>
      <c r="D23" s="66" t="s">
        <v>19</v>
      </c>
      <c r="E23" s="66" t="s">
        <v>20</v>
      </c>
      <c r="F23" s="66" t="s">
        <v>69</v>
      </c>
      <c r="G23" s="8">
        <v>10200</v>
      </c>
      <c r="H23" s="8">
        <v>4200</v>
      </c>
      <c r="I23" s="3">
        <v>4.8000000000000001E-2</v>
      </c>
      <c r="J23" s="6">
        <v>19.5</v>
      </c>
      <c r="K23" s="3">
        <v>2.92</v>
      </c>
      <c r="L23" s="3">
        <v>6.5000000000000002E-2</v>
      </c>
      <c r="M23" s="6">
        <v>8</v>
      </c>
      <c r="N23" s="3">
        <v>6.75</v>
      </c>
      <c r="O23" s="3">
        <v>2.41</v>
      </c>
      <c r="P23" s="65">
        <f t="shared" si="0"/>
        <v>9.2301429992723616</v>
      </c>
    </row>
    <row r="24" spans="2:24" x14ac:dyDescent="0.3">
      <c r="B24" s="58" t="s">
        <v>182</v>
      </c>
      <c r="C24" s="66">
        <v>3</v>
      </c>
      <c r="D24" s="66" t="s">
        <v>19</v>
      </c>
      <c r="E24" s="66" t="s">
        <v>20</v>
      </c>
      <c r="F24" s="66" t="s">
        <v>69</v>
      </c>
      <c r="G24" s="8">
        <v>10800</v>
      </c>
      <c r="H24" s="8">
        <v>4500</v>
      </c>
      <c r="I24" s="3">
        <v>0.05</v>
      </c>
      <c r="J24" s="6">
        <v>18.8</v>
      </c>
      <c r="K24" s="3">
        <v>2.82</v>
      </c>
      <c r="L24" s="3">
        <v>6.8000000000000005E-2</v>
      </c>
      <c r="M24" s="6">
        <v>8.3000000000000007</v>
      </c>
      <c r="N24" s="3">
        <v>6.25</v>
      </c>
      <c r="O24" s="3">
        <v>2.74</v>
      </c>
      <c r="P24" s="65">
        <f t="shared" si="0"/>
        <v>9.2873014131123117</v>
      </c>
      <c r="S24" s="18"/>
      <c r="T24" s="18"/>
      <c r="U24" s="18"/>
      <c r="V24" s="18"/>
      <c r="W24" s="18"/>
      <c r="X24" s="18"/>
    </row>
    <row r="25" spans="2:24" x14ac:dyDescent="0.3">
      <c r="B25" s="58" t="s">
        <v>183</v>
      </c>
      <c r="C25" s="66">
        <v>3</v>
      </c>
      <c r="D25" s="66" t="s">
        <v>19</v>
      </c>
      <c r="E25" s="66" t="s">
        <v>20</v>
      </c>
      <c r="F25" s="66" t="s">
        <v>69</v>
      </c>
      <c r="G25" s="8">
        <v>11500</v>
      </c>
      <c r="H25" s="8">
        <v>4800</v>
      </c>
      <c r="I25" s="3">
        <v>5.2999999999999999E-2</v>
      </c>
      <c r="J25" s="6">
        <v>17.2</v>
      </c>
      <c r="K25" s="3">
        <v>2.75</v>
      </c>
      <c r="L25" s="3">
        <v>6.2E-2</v>
      </c>
      <c r="M25" s="6">
        <v>6.8</v>
      </c>
      <c r="N25" s="3">
        <v>6</v>
      </c>
      <c r="O25" s="3">
        <v>3.09</v>
      </c>
      <c r="P25" s="65">
        <f t="shared" si="0"/>
        <v>9.3501023143513411</v>
      </c>
    </row>
    <row r="26" spans="2:24" x14ac:dyDescent="0.3">
      <c r="B26" s="58" t="s">
        <v>184</v>
      </c>
      <c r="C26" s="66">
        <v>3</v>
      </c>
      <c r="D26" s="66" t="s">
        <v>19</v>
      </c>
      <c r="E26" s="66" t="s">
        <v>20</v>
      </c>
      <c r="F26" s="66" t="s">
        <v>69</v>
      </c>
      <c r="G26" s="8">
        <v>12200</v>
      </c>
      <c r="H26" s="8">
        <v>5100</v>
      </c>
      <c r="I26" s="3">
        <v>5.6000000000000001E-2</v>
      </c>
      <c r="J26" s="6">
        <v>16.5</v>
      </c>
      <c r="K26" s="3">
        <v>2.68</v>
      </c>
      <c r="L26" s="3">
        <v>0.06</v>
      </c>
      <c r="M26" s="6">
        <v>6.5</v>
      </c>
      <c r="N26" s="3">
        <v>6.25</v>
      </c>
      <c r="O26" s="3">
        <v>3.36</v>
      </c>
      <c r="P26" s="65">
        <f t="shared" si="0"/>
        <v>9.4091912307213477</v>
      </c>
    </row>
    <row r="27" spans="2:24" x14ac:dyDescent="0.3">
      <c r="B27" s="58" t="s">
        <v>185</v>
      </c>
      <c r="C27" s="66">
        <v>3</v>
      </c>
      <c r="D27" s="66" t="s">
        <v>19</v>
      </c>
      <c r="E27" s="66" t="s">
        <v>20</v>
      </c>
      <c r="F27" s="66" t="s">
        <v>69</v>
      </c>
      <c r="G27" s="8">
        <v>8900</v>
      </c>
      <c r="H27" s="8">
        <v>5400</v>
      </c>
      <c r="I27" s="3">
        <v>5.7000000000000002E-2</v>
      </c>
      <c r="J27" s="6">
        <v>15</v>
      </c>
      <c r="K27" s="3">
        <v>2.72</v>
      </c>
      <c r="L27" s="3">
        <v>5.8000000000000003E-2</v>
      </c>
      <c r="M27" s="6">
        <v>4</v>
      </c>
      <c r="N27" s="3">
        <v>5.15</v>
      </c>
      <c r="O27" s="3">
        <v>3.36</v>
      </c>
      <c r="P27" s="65">
        <f t="shared" si="0"/>
        <v>9.0938065557202314</v>
      </c>
    </row>
    <row r="28" spans="2:24" x14ac:dyDescent="0.3">
      <c r="B28" s="58" t="s">
        <v>186</v>
      </c>
      <c r="C28" s="66">
        <v>3</v>
      </c>
      <c r="D28" s="66" t="s">
        <v>19</v>
      </c>
      <c r="E28" s="66" t="s">
        <v>20</v>
      </c>
      <c r="F28" s="66" t="s">
        <v>69</v>
      </c>
      <c r="G28" s="8">
        <v>18000</v>
      </c>
      <c r="H28" s="8">
        <v>5800</v>
      </c>
      <c r="I28" s="3">
        <v>5.8000000000000003E-2</v>
      </c>
      <c r="J28" s="6">
        <v>22</v>
      </c>
      <c r="K28" s="3">
        <v>2.65</v>
      </c>
      <c r="L28" s="3">
        <v>7.1999999999999995E-2</v>
      </c>
      <c r="M28" s="61">
        <v>7.3</v>
      </c>
      <c r="N28" s="3">
        <v>4</v>
      </c>
      <c r="O28" s="3">
        <v>4.3899999999999997</v>
      </c>
      <c r="P28" s="65">
        <f t="shared" si="0"/>
        <v>9.7981270368783022</v>
      </c>
    </row>
    <row r="29" spans="2:24" x14ac:dyDescent="0.3">
      <c r="B29" s="66" t="s">
        <v>14</v>
      </c>
      <c r="C29" s="66">
        <f>C19+1</f>
        <v>3</v>
      </c>
      <c r="D29" s="66" t="s">
        <v>19</v>
      </c>
      <c r="E29" s="66" t="s">
        <v>20</v>
      </c>
      <c r="F29" s="66" t="s">
        <v>69</v>
      </c>
      <c r="G29" s="8">
        <v>76321</v>
      </c>
      <c r="H29" s="8">
        <v>7268</v>
      </c>
      <c r="I29" s="3">
        <v>6.0100000000000001E-2</v>
      </c>
      <c r="J29" s="6">
        <v>48.1</v>
      </c>
      <c r="K29" s="3">
        <v>2.58</v>
      </c>
      <c r="L29" s="3">
        <v>0.09</v>
      </c>
      <c r="M29" s="6">
        <v>8.6999999999999993</v>
      </c>
      <c r="N29" s="3">
        <v>4</v>
      </c>
      <c r="O29" s="3">
        <v>5.54</v>
      </c>
      <c r="P29" s="65">
        <f t="shared" si="0"/>
        <v>11.242703408761695</v>
      </c>
    </row>
    <row r="30" spans="2:24" x14ac:dyDescent="0.3">
      <c r="B30" s="66" t="s">
        <v>64</v>
      </c>
      <c r="C30" s="66">
        <f>C20+1</f>
        <v>3</v>
      </c>
      <c r="D30" s="66" t="s">
        <v>19</v>
      </c>
      <c r="E30" s="66" t="s">
        <v>20</v>
      </c>
      <c r="F30" s="66" t="s">
        <v>69</v>
      </c>
      <c r="G30" s="8">
        <v>60775</v>
      </c>
      <c r="H30" s="8">
        <v>7656</v>
      </c>
      <c r="I30" s="3">
        <v>7.0000000000000007E-2</v>
      </c>
      <c r="J30" s="6">
        <v>17.100000000000001</v>
      </c>
      <c r="K30" s="3">
        <v>1.85</v>
      </c>
      <c r="L30" s="3">
        <v>0.12</v>
      </c>
      <c r="M30" s="6">
        <v>7.2</v>
      </c>
      <c r="N30" s="3">
        <v>6.5</v>
      </c>
      <c r="O30" s="3">
        <v>7.5</v>
      </c>
      <c r="P30" s="65">
        <f t="shared" si="0"/>
        <v>11.014933799184323</v>
      </c>
    </row>
    <row r="31" spans="2:24" x14ac:dyDescent="0.3">
      <c r="B31" s="66" t="s">
        <v>65</v>
      </c>
      <c r="C31" s="66">
        <f>C21+1</f>
        <v>3</v>
      </c>
      <c r="D31" s="66" t="s">
        <v>19</v>
      </c>
      <c r="E31" s="66" t="s">
        <v>20</v>
      </c>
      <c r="F31" s="66" t="s">
        <v>69</v>
      </c>
      <c r="G31" s="8">
        <f>1.25*100000</f>
        <v>125000</v>
      </c>
      <c r="H31" s="8">
        <v>13333</v>
      </c>
      <c r="I31" s="3">
        <v>8.0600000000000005E-2</v>
      </c>
      <c r="J31" s="6">
        <v>38.6</v>
      </c>
      <c r="K31" s="3">
        <v>1.48</v>
      </c>
      <c r="L31" s="3">
        <v>0.11</v>
      </c>
      <c r="M31" s="6">
        <v>8.1999999999999993</v>
      </c>
      <c r="N31" s="3">
        <v>6.5</v>
      </c>
      <c r="O31" s="3">
        <v>10</v>
      </c>
      <c r="P31" s="65">
        <f t="shared" si="0"/>
        <v>11.736069016284437</v>
      </c>
      <c r="S31" s="1"/>
    </row>
    <row r="32" spans="2:24" x14ac:dyDescent="0.3">
      <c r="B32" s="66" t="s">
        <v>66</v>
      </c>
      <c r="C32" s="66">
        <f>C22+1</f>
        <v>3</v>
      </c>
      <c r="D32" s="66" t="s">
        <v>19</v>
      </c>
      <c r="E32" s="66" t="s">
        <v>20</v>
      </c>
      <c r="F32" s="66" t="s">
        <v>69</v>
      </c>
      <c r="G32" s="8">
        <f>1.2*100000</f>
        <v>120000</v>
      </c>
      <c r="H32" s="8">
        <v>18322</v>
      </c>
      <c r="I32" s="3">
        <v>8.9599999999999999E-2</v>
      </c>
      <c r="J32" s="6">
        <v>30.2</v>
      </c>
      <c r="K32" s="3">
        <v>1.1000000000000001</v>
      </c>
      <c r="L32" s="3">
        <v>0.11</v>
      </c>
      <c r="M32" s="6">
        <v>6.5</v>
      </c>
      <c r="N32" s="3">
        <v>6.25</v>
      </c>
      <c r="O32" s="3">
        <v>10.52</v>
      </c>
      <c r="P32" s="65">
        <f t="shared" si="0"/>
        <v>11.695247021764184</v>
      </c>
      <c r="S32" s="1"/>
    </row>
    <row r="33" spans="2:19" x14ac:dyDescent="0.3">
      <c r="B33" s="58" t="s">
        <v>181</v>
      </c>
      <c r="C33" s="66">
        <v>4</v>
      </c>
      <c r="D33" s="66" t="s">
        <v>21</v>
      </c>
      <c r="E33" s="66" t="s">
        <v>22</v>
      </c>
      <c r="F33" s="66" t="s">
        <v>70</v>
      </c>
      <c r="G33" s="8">
        <v>6800</v>
      </c>
      <c r="H33" s="8">
        <v>1650</v>
      </c>
      <c r="I33" s="3">
        <v>0.112</v>
      </c>
      <c r="J33" s="6">
        <v>14.2</v>
      </c>
      <c r="K33" s="3">
        <v>1.85</v>
      </c>
      <c r="L33" s="3">
        <v>8.2000000000000003E-2</v>
      </c>
      <c r="M33" s="6">
        <v>8</v>
      </c>
      <c r="N33" s="3">
        <v>6.75</v>
      </c>
      <c r="O33" s="3">
        <v>2.41</v>
      </c>
      <c r="P33" s="65">
        <f t="shared" si="0"/>
        <v>8.8246778911641979</v>
      </c>
      <c r="S33" s="1"/>
    </row>
    <row r="34" spans="2:19" x14ac:dyDescent="0.3">
      <c r="B34" s="58" t="s">
        <v>182</v>
      </c>
      <c r="C34" s="66">
        <v>4</v>
      </c>
      <c r="D34" s="66" t="s">
        <v>21</v>
      </c>
      <c r="E34" s="66" t="s">
        <v>22</v>
      </c>
      <c r="F34" s="66" t="s">
        <v>70</v>
      </c>
      <c r="G34" s="8">
        <v>7200</v>
      </c>
      <c r="H34" s="8">
        <v>1780</v>
      </c>
      <c r="I34" s="3">
        <v>0.11799999999999999</v>
      </c>
      <c r="J34" s="6">
        <v>13.8</v>
      </c>
      <c r="K34" s="3">
        <v>1.78</v>
      </c>
      <c r="L34" s="3">
        <v>8.5000000000000006E-2</v>
      </c>
      <c r="M34" s="6">
        <v>8.3000000000000007</v>
      </c>
      <c r="N34" s="3">
        <v>6.25</v>
      </c>
      <c r="O34" s="3">
        <v>2.74</v>
      </c>
      <c r="P34" s="65">
        <f t="shared" si="0"/>
        <v>8.8818363050041462</v>
      </c>
    </row>
    <row r="35" spans="2:19" x14ac:dyDescent="0.3">
      <c r="B35" s="58" t="s">
        <v>183</v>
      </c>
      <c r="C35" s="66">
        <v>4</v>
      </c>
      <c r="D35" s="66" t="s">
        <v>21</v>
      </c>
      <c r="E35" s="66" t="s">
        <v>22</v>
      </c>
      <c r="F35" s="66" t="s">
        <v>70</v>
      </c>
      <c r="G35" s="8">
        <v>6500</v>
      </c>
      <c r="H35" s="8">
        <v>1900</v>
      </c>
      <c r="I35" s="3">
        <v>0.124</v>
      </c>
      <c r="J35" s="6">
        <v>12.5</v>
      </c>
      <c r="K35" s="3">
        <v>1.82</v>
      </c>
      <c r="L35" s="3">
        <v>0.08</v>
      </c>
      <c r="M35" s="6">
        <v>6.8</v>
      </c>
      <c r="N35" s="3">
        <v>6</v>
      </c>
      <c r="O35" s="3">
        <v>3.09</v>
      </c>
      <c r="P35" s="65">
        <f t="shared" si="0"/>
        <v>8.7795574558837277</v>
      </c>
      <c r="S35" s="1"/>
    </row>
    <row r="36" spans="2:19" x14ac:dyDescent="0.3">
      <c r="B36" s="58" t="s">
        <v>184</v>
      </c>
      <c r="C36" s="66">
        <v>4</v>
      </c>
      <c r="D36" s="66" t="s">
        <v>21</v>
      </c>
      <c r="E36" s="66" t="s">
        <v>22</v>
      </c>
      <c r="F36" s="66" t="s">
        <v>70</v>
      </c>
      <c r="G36" s="8">
        <v>7100</v>
      </c>
      <c r="H36" s="8">
        <v>2020</v>
      </c>
      <c r="I36" s="3">
        <v>0.128</v>
      </c>
      <c r="J36" s="6">
        <v>13</v>
      </c>
      <c r="K36" s="3">
        <v>1.76</v>
      </c>
      <c r="L36" s="3">
        <v>7.8E-2</v>
      </c>
      <c r="M36" s="6">
        <v>6.5</v>
      </c>
      <c r="N36" s="3">
        <v>6.25</v>
      </c>
      <c r="O36" s="3">
        <v>3.36</v>
      </c>
      <c r="P36" s="65">
        <f t="shared" si="0"/>
        <v>8.8678500630294064</v>
      </c>
      <c r="S36" s="1"/>
    </row>
    <row r="37" spans="2:19" x14ac:dyDescent="0.3">
      <c r="B37" s="58" t="s">
        <v>185</v>
      </c>
      <c r="C37" s="66">
        <v>4</v>
      </c>
      <c r="D37" s="66" t="s">
        <v>21</v>
      </c>
      <c r="E37" s="66" t="s">
        <v>22</v>
      </c>
      <c r="F37" s="66" t="s">
        <v>70</v>
      </c>
      <c r="G37" s="8">
        <v>5800</v>
      </c>
      <c r="H37" s="8">
        <v>2100</v>
      </c>
      <c r="I37" s="3">
        <v>0.13100000000000001</v>
      </c>
      <c r="J37" s="6">
        <v>11.2</v>
      </c>
      <c r="K37" s="3">
        <v>1.8</v>
      </c>
      <c r="L37" s="3">
        <v>7.1999999999999995E-2</v>
      </c>
      <c r="M37" s="6">
        <v>4</v>
      </c>
      <c r="N37" s="3">
        <v>5.15</v>
      </c>
      <c r="O37" s="3">
        <v>3.36</v>
      </c>
      <c r="P37" s="65">
        <f t="shared" si="0"/>
        <v>8.66561319653451</v>
      </c>
      <c r="S37" s="1"/>
    </row>
    <row r="38" spans="2:19" x14ac:dyDescent="0.3">
      <c r="B38" s="58" t="s">
        <v>186</v>
      </c>
      <c r="C38" s="66">
        <v>4</v>
      </c>
      <c r="D38" s="66" t="s">
        <v>21</v>
      </c>
      <c r="E38" s="66" t="s">
        <v>22</v>
      </c>
      <c r="F38" s="66" t="s">
        <v>70</v>
      </c>
      <c r="G38" s="8">
        <v>7500</v>
      </c>
      <c r="H38" s="8">
        <v>2180</v>
      </c>
      <c r="I38" s="3">
        <v>0.13500000000000001</v>
      </c>
      <c r="J38" s="6">
        <v>12.8</v>
      </c>
      <c r="K38" s="3">
        <v>1.86</v>
      </c>
      <c r="L38" s="3">
        <v>7.4999999999999997E-2</v>
      </c>
      <c r="M38" s="61">
        <v>7.3</v>
      </c>
      <c r="N38" s="3">
        <v>4</v>
      </c>
      <c r="O38" s="3">
        <v>4.3899999999999997</v>
      </c>
      <c r="P38" s="65">
        <f t="shared" si="0"/>
        <v>8.9226582995244019</v>
      </c>
      <c r="S38" s="1"/>
    </row>
    <row r="39" spans="2:19" x14ac:dyDescent="0.3">
      <c r="B39" s="66" t="s">
        <v>14</v>
      </c>
      <c r="C39" s="66">
        <f>C29+1</f>
        <v>4</v>
      </c>
      <c r="D39" s="66" t="s">
        <v>21</v>
      </c>
      <c r="E39" s="66" t="s">
        <v>22</v>
      </c>
      <c r="F39" s="66" t="s">
        <v>70</v>
      </c>
      <c r="G39" s="8">
        <v>13078</v>
      </c>
      <c r="H39" s="8">
        <v>2271</v>
      </c>
      <c r="I39" s="3">
        <v>0.14019999999999999</v>
      </c>
      <c r="J39" s="6">
        <v>36.4</v>
      </c>
      <c r="K39" s="3">
        <v>0.89</v>
      </c>
      <c r="L39" s="3">
        <v>0.09</v>
      </c>
      <c r="M39" s="6">
        <v>8.6999999999999993</v>
      </c>
      <c r="N39" s="3">
        <v>4</v>
      </c>
      <c r="O39" s="3">
        <v>5.54</v>
      </c>
      <c r="P39" s="65">
        <f t="shared" si="0"/>
        <v>9.4786867081212218</v>
      </c>
      <c r="S39" s="1"/>
    </row>
    <row r="40" spans="2:19" x14ac:dyDescent="0.3">
      <c r="B40" s="66" t="s">
        <v>64</v>
      </c>
      <c r="C40" s="66">
        <f>C30+1</f>
        <v>4</v>
      </c>
      <c r="D40" s="66" t="s">
        <v>21</v>
      </c>
      <c r="E40" s="66" t="s">
        <v>22</v>
      </c>
      <c r="F40" s="66" t="s">
        <v>70</v>
      </c>
      <c r="G40" s="8">
        <v>19305</v>
      </c>
      <c r="H40" s="8">
        <v>2710</v>
      </c>
      <c r="I40" s="3">
        <v>0.1643</v>
      </c>
      <c r="J40" s="6">
        <v>20</v>
      </c>
      <c r="K40" s="3">
        <v>0.66</v>
      </c>
      <c r="L40" s="3">
        <v>0.09</v>
      </c>
      <c r="M40" s="6">
        <v>7.2</v>
      </c>
      <c r="N40" s="3">
        <v>6.5</v>
      </c>
      <c r="O40" s="3">
        <v>7.5</v>
      </c>
      <c r="P40" s="65">
        <f t="shared" si="0"/>
        <v>9.8681194086983375</v>
      </c>
    </row>
    <row r="41" spans="2:19" x14ac:dyDescent="0.3">
      <c r="B41" s="66" t="s">
        <v>65</v>
      </c>
      <c r="C41" s="66">
        <f>C31+1</f>
        <v>4</v>
      </c>
      <c r="D41" s="66" t="s">
        <v>21</v>
      </c>
      <c r="E41" s="66" t="s">
        <v>22</v>
      </c>
      <c r="F41" s="66" t="s">
        <v>70</v>
      </c>
      <c r="G41" s="8">
        <v>24188</v>
      </c>
      <c r="H41" s="8">
        <v>3169</v>
      </c>
      <c r="I41" s="3">
        <v>0.1875</v>
      </c>
      <c r="J41" s="6">
        <v>65.099999999999994</v>
      </c>
      <c r="K41" s="3">
        <v>0.98</v>
      </c>
      <c r="L41" s="3">
        <v>0.09</v>
      </c>
      <c r="M41" s="6">
        <v>8.1999999999999993</v>
      </c>
      <c r="N41" s="3">
        <v>6.5</v>
      </c>
      <c r="O41" s="3">
        <v>10</v>
      </c>
      <c r="P41" s="65">
        <f t="shared" si="0"/>
        <v>10.093611921393103</v>
      </c>
    </row>
    <row r="42" spans="2:19" x14ac:dyDescent="0.3">
      <c r="B42" s="66" t="s">
        <v>66</v>
      </c>
      <c r="C42" s="66">
        <f>C32+1</f>
        <v>4</v>
      </c>
      <c r="D42" s="66" t="s">
        <v>21</v>
      </c>
      <c r="E42" s="66" t="s">
        <v>22</v>
      </c>
      <c r="F42" s="66" t="s">
        <v>70</v>
      </c>
      <c r="G42" s="8">
        <v>25673</v>
      </c>
      <c r="H42" s="8">
        <v>3500</v>
      </c>
      <c r="I42" s="3">
        <v>0.1978</v>
      </c>
      <c r="J42" s="6">
        <v>36.4</v>
      </c>
      <c r="K42" s="3">
        <v>0.74</v>
      </c>
      <c r="L42" s="3">
        <v>0.08</v>
      </c>
      <c r="M42" s="6">
        <v>6.5</v>
      </c>
      <c r="N42" s="3">
        <v>6.25</v>
      </c>
      <c r="O42" s="3">
        <v>10.52</v>
      </c>
      <c r="P42" s="65">
        <f t="shared" si="0"/>
        <v>10.153195134975888</v>
      </c>
    </row>
    <row r="43" spans="2:19" x14ac:dyDescent="0.3">
      <c r="B43" s="58" t="s">
        <v>181</v>
      </c>
      <c r="C43" s="66">
        <v>5</v>
      </c>
      <c r="D43" s="66" t="s">
        <v>23</v>
      </c>
      <c r="E43" s="66" t="s">
        <v>24</v>
      </c>
      <c r="F43" s="66" t="s">
        <v>69</v>
      </c>
      <c r="G43" s="8">
        <v>70000</v>
      </c>
      <c r="H43" s="8">
        <v>12000</v>
      </c>
      <c r="I43" s="3">
        <v>7.6999999999999999E-2</v>
      </c>
      <c r="J43" s="6">
        <v>13.2</v>
      </c>
      <c r="K43" s="3">
        <v>1.88</v>
      </c>
      <c r="L43" s="3">
        <v>9.8000000000000004E-2</v>
      </c>
      <c r="M43" s="6">
        <v>8</v>
      </c>
      <c r="N43" s="3">
        <v>6.75</v>
      </c>
      <c r="O43" s="3">
        <v>2.41</v>
      </c>
      <c r="P43" s="65">
        <f t="shared" si="0"/>
        <v>11.156250521031495</v>
      </c>
    </row>
    <row r="44" spans="2:19" x14ac:dyDescent="0.3">
      <c r="B44" s="58" t="s">
        <v>182</v>
      </c>
      <c r="C44" s="66">
        <v>5</v>
      </c>
      <c r="D44" s="66" t="s">
        <v>23</v>
      </c>
      <c r="E44" s="66" t="s">
        <v>24</v>
      </c>
      <c r="F44" s="66" t="s">
        <v>69</v>
      </c>
      <c r="G44" s="8">
        <v>76000</v>
      </c>
      <c r="H44" s="8">
        <v>13000</v>
      </c>
      <c r="I44" s="3">
        <v>7.9000000000000001E-2</v>
      </c>
      <c r="J44" s="6">
        <v>13.8</v>
      </c>
      <c r="K44" s="3">
        <v>1.85</v>
      </c>
      <c r="L44" s="3">
        <v>0.1</v>
      </c>
      <c r="M44" s="6">
        <v>8.3000000000000007</v>
      </c>
      <c r="N44" s="3">
        <v>6.25</v>
      </c>
      <c r="O44" s="3">
        <v>2.74</v>
      </c>
      <c r="P44" s="65">
        <f t="shared" si="0"/>
        <v>11.238488619268468</v>
      </c>
    </row>
    <row r="45" spans="2:19" x14ac:dyDescent="0.3">
      <c r="B45" s="58" t="s">
        <v>183</v>
      </c>
      <c r="C45" s="66">
        <v>5</v>
      </c>
      <c r="D45" s="66" t="s">
        <v>23</v>
      </c>
      <c r="E45" s="66" t="s">
        <v>24</v>
      </c>
      <c r="F45" s="66" t="s">
        <v>69</v>
      </c>
      <c r="G45" s="8">
        <v>82000</v>
      </c>
      <c r="H45" s="8">
        <v>14000</v>
      </c>
      <c r="I45" s="3">
        <v>8.1000000000000003E-2</v>
      </c>
      <c r="J45" s="6">
        <v>14.2</v>
      </c>
      <c r="K45" s="3">
        <v>1.8</v>
      </c>
      <c r="L45" s="3">
        <v>0.10199999999999999</v>
      </c>
      <c r="M45" s="6">
        <v>6.8</v>
      </c>
      <c r="N45" s="3">
        <v>6</v>
      </c>
      <c r="O45" s="3">
        <v>3.09</v>
      </c>
      <c r="P45" s="65">
        <f t="shared" si="0"/>
        <v>11.314474526246391</v>
      </c>
    </row>
    <row r="46" spans="2:19" x14ac:dyDescent="0.3">
      <c r="B46" s="58" t="s">
        <v>184</v>
      </c>
      <c r="C46" s="66">
        <v>5</v>
      </c>
      <c r="D46" s="66" t="s">
        <v>23</v>
      </c>
      <c r="E46" s="66" t="s">
        <v>24</v>
      </c>
      <c r="F46" s="66" t="s">
        <v>69</v>
      </c>
      <c r="G46" s="8">
        <v>88000</v>
      </c>
      <c r="H46" s="8">
        <v>15500</v>
      </c>
      <c r="I46" s="3">
        <v>8.3000000000000004E-2</v>
      </c>
      <c r="J46" s="6">
        <v>13.5</v>
      </c>
      <c r="K46" s="3">
        <v>1.75</v>
      </c>
      <c r="L46" s="3">
        <v>0.105</v>
      </c>
      <c r="M46" s="6">
        <v>6.5</v>
      </c>
      <c r="N46" s="3">
        <v>6.25</v>
      </c>
      <c r="O46" s="3">
        <v>3.36</v>
      </c>
      <c r="P46" s="65">
        <f t="shared" si="0"/>
        <v>11.385092093460344</v>
      </c>
    </row>
    <row r="47" spans="2:19" x14ac:dyDescent="0.3">
      <c r="B47" s="58" t="s">
        <v>185</v>
      </c>
      <c r="C47" s="66">
        <v>5</v>
      </c>
      <c r="D47" s="66" t="s">
        <v>23</v>
      </c>
      <c r="E47" s="66" t="s">
        <v>24</v>
      </c>
      <c r="F47" s="66" t="s">
        <v>69</v>
      </c>
      <c r="G47" s="8">
        <v>78000</v>
      </c>
      <c r="H47" s="8">
        <v>14200</v>
      </c>
      <c r="I47" s="3">
        <v>8.2000000000000003E-2</v>
      </c>
      <c r="J47" s="6">
        <v>12.8</v>
      </c>
      <c r="K47" s="3">
        <v>1.78</v>
      </c>
      <c r="L47" s="3">
        <v>9.8000000000000004E-2</v>
      </c>
      <c r="M47" s="6">
        <v>4</v>
      </c>
      <c r="N47" s="3">
        <v>5.15</v>
      </c>
      <c r="O47" s="3">
        <v>3.36</v>
      </c>
      <c r="P47" s="65">
        <f t="shared" si="0"/>
        <v>11.264464105671729</v>
      </c>
    </row>
    <row r="48" spans="2:19" x14ac:dyDescent="0.3">
      <c r="B48" s="58" t="s">
        <v>186</v>
      </c>
      <c r="C48" s="66">
        <v>5</v>
      </c>
      <c r="D48" s="66" t="s">
        <v>23</v>
      </c>
      <c r="E48" s="66" t="s">
        <v>24</v>
      </c>
      <c r="F48" s="66" t="s">
        <v>69</v>
      </c>
      <c r="G48" s="8">
        <v>85000</v>
      </c>
      <c r="H48" s="8">
        <v>9212</v>
      </c>
      <c r="I48" s="3">
        <v>8.4000000000000005E-2</v>
      </c>
      <c r="J48" s="6">
        <v>12.5</v>
      </c>
      <c r="K48" s="3">
        <v>1.72</v>
      </c>
      <c r="L48" s="3">
        <v>9.6000000000000002E-2</v>
      </c>
      <c r="M48" s="61">
        <v>7.3</v>
      </c>
      <c r="N48" s="3">
        <v>4</v>
      </c>
      <c r="O48" s="3">
        <v>4.3899999999999997</v>
      </c>
      <c r="P48" s="65">
        <f t="shared" si="0"/>
        <v>11.350406535472453</v>
      </c>
    </row>
    <row r="49" spans="2:16" x14ac:dyDescent="0.3">
      <c r="B49" s="66" t="s">
        <v>14</v>
      </c>
      <c r="C49" s="66">
        <f>C39+1</f>
        <v>5</v>
      </c>
      <c r="D49" s="66" t="s">
        <v>23</v>
      </c>
      <c r="E49" s="66" t="s">
        <v>24</v>
      </c>
      <c r="F49" s="66" t="s">
        <v>69</v>
      </c>
      <c r="G49" s="8">
        <v>118243</v>
      </c>
      <c r="H49" s="8">
        <v>9426</v>
      </c>
      <c r="I49" s="3">
        <f>H49/250950</f>
        <v>3.7561267184698148E-2</v>
      </c>
      <c r="J49" s="6">
        <v>11.8</v>
      </c>
      <c r="K49" s="3">
        <f>63/37</f>
        <v>1.7027027027027026</v>
      </c>
      <c r="L49" s="3">
        <v>0.11</v>
      </c>
      <c r="M49" s="6">
        <v>8.6999999999999993</v>
      </c>
      <c r="N49" s="3">
        <v>4</v>
      </c>
      <c r="O49" s="3">
        <v>5.54</v>
      </c>
      <c r="P49" s="65">
        <f t="shared" si="0"/>
        <v>11.680497107984655</v>
      </c>
    </row>
    <row r="50" spans="2:16" x14ac:dyDescent="0.3">
      <c r="B50" s="66" t="s">
        <v>64</v>
      </c>
      <c r="C50" s="66">
        <f>C40+1</f>
        <v>5</v>
      </c>
      <c r="D50" s="66" t="s">
        <v>23</v>
      </c>
      <c r="E50" s="66" t="s">
        <v>24</v>
      </c>
      <c r="F50" s="66" t="s">
        <v>69</v>
      </c>
      <c r="G50" s="8">
        <v>157430</v>
      </c>
      <c r="H50" s="8">
        <v>9212</v>
      </c>
      <c r="I50" s="3">
        <f>H50/252225</f>
        <v>3.6522945782535433E-2</v>
      </c>
      <c r="J50" s="6">
        <v>10.5</v>
      </c>
      <c r="K50" s="3">
        <f>60/40</f>
        <v>1.5</v>
      </c>
      <c r="L50" s="3">
        <v>0.13</v>
      </c>
      <c r="M50" s="6">
        <v>7.2</v>
      </c>
      <c r="N50" s="3">
        <v>6.5</v>
      </c>
      <c r="O50" s="3">
        <v>7.5</v>
      </c>
      <c r="P50" s="65">
        <f t="shared" si="0"/>
        <v>11.966736194008675</v>
      </c>
    </row>
    <row r="51" spans="2:16" x14ac:dyDescent="0.3">
      <c r="B51" s="66" t="s">
        <v>65</v>
      </c>
      <c r="C51" s="66">
        <f>C41+1</f>
        <v>5</v>
      </c>
      <c r="D51" s="66" t="s">
        <v>23</v>
      </c>
      <c r="E51" s="66" t="s">
        <v>24</v>
      </c>
      <c r="F51" s="66" t="s">
        <v>69</v>
      </c>
      <c r="G51" s="8">
        <v>257672</v>
      </c>
      <c r="H51" s="8">
        <v>12500</v>
      </c>
      <c r="I51" s="3">
        <f>H51/250829</f>
        <v>4.9834747975712537E-2</v>
      </c>
      <c r="J51" s="6">
        <v>16.399999999999999</v>
      </c>
      <c r="K51" s="3">
        <f>59/42</f>
        <v>1.4047619047619047</v>
      </c>
      <c r="L51" s="3">
        <v>0.13</v>
      </c>
      <c r="M51" s="6">
        <v>8.1999999999999993</v>
      </c>
      <c r="N51" s="3">
        <v>6.5</v>
      </c>
      <c r="O51" s="3">
        <v>10</v>
      </c>
      <c r="P51" s="65">
        <f t="shared" si="0"/>
        <v>12.45944273726421</v>
      </c>
    </row>
    <row r="52" spans="2:16" x14ac:dyDescent="0.3">
      <c r="B52" s="66" t="s">
        <v>66</v>
      </c>
      <c r="C52" s="66">
        <f>C42+1</f>
        <v>5</v>
      </c>
      <c r="D52" s="66" t="s">
        <v>23</v>
      </c>
      <c r="E52" s="66" t="s">
        <v>24</v>
      </c>
      <c r="F52" s="66" t="s">
        <v>69</v>
      </c>
      <c r="G52" s="8">
        <v>270136</v>
      </c>
      <c r="H52" s="8">
        <v>26255</v>
      </c>
      <c r="I52" s="3">
        <f>H52/266109</f>
        <v>9.8662578116486099E-2</v>
      </c>
      <c r="J52" s="6">
        <v>17.399999999999999</v>
      </c>
      <c r="K52" s="3">
        <f>59/42</f>
        <v>1.4047619047619047</v>
      </c>
      <c r="L52" s="3">
        <v>0.13</v>
      </c>
      <c r="M52" s="6">
        <v>6.5</v>
      </c>
      <c r="N52" s="3">
        <v>6.25</v>
      </c>
      <c r="O52" s="3">
        <v>10.52</v>
      </c>
      <c r="P52" s="65">
        <f t="shared" si="0"/>
        <v>12.506680814868089</v>
      </c>
    </row>
    <row r="53" spans="2:16" x14ac:dyDescent="0.3">
      <c r="B53" s="58" t="s">
        <v>181</v>
      </c>
      <c r="C53" s="66">
        <v>6</v>
      </c>
      <c r="D53" s="66" t="s">
        <v>25</v>
      </c>
      <c r="E53" s="66" t="s">
        <v>26</v>
      </c>
      <c r="F53" s="66" t="s">
        <v>70</v>
      </c>
      <c r="G53" s="8">
        <v>1200</v>
      </c>
      <c r="H53" s="8">
        <v>98</v>
      </c>
      <c r="I53" s="3">
        <v>5.8000000000000003E-2</v>
      </c>
      <c r="J53" s="6">
        <v>12.8</v>
      </c>
      <c r="K53" s="3">
        <v>0</v>
      </c>
      <c r="L53" s="3">
        <v>0.158</v>
      </c>
      <c r="M53" s="6">
        <v>8</v>
      </c>
      <c r="N53" s="3">
        <v>6.75</v>
      </c>
      <c r="O53" s="3">
        <v>2.41</v>
      </c>
      <c r="P53" s="65">
        <f t="shared" si="0"/>
        <v>7.0900768357760917</v>
      </c>
    </row>
    <row r="54" spans="2:16" x14ac:dyDescent="0.3">
      <c r="B54" s="58" t="s">
        <v>182</v>
      </c>
      <c r="C54" s="66">
        <v>6</v>
      </c>
      <c r="D54" s="66" t="s">
        <v>25</v>
      </c>
      <c r="E54" s="66" t="s">
        <v>26</v>
      </c>
      <c r="F54" s="66" t="s">
        <v>70</v>
      </c>
      <c r="G54" s="8">
        <v>1580</v>
      </c>
      <c r="H54" s="8">
        <v>112</v>
      </c>
      <c r="I54" s="3">
        <v>6.2E-2</v>
      </c>
      <c r="J54" s="6">
        <v>14.5</v>
      </c>
      <c r="K54" s="3">
        <v>0</v>
      </c>
      <c r="L54" s="3">
        <v>0.16800000000000001</v>
      </c>
      <c r="M54" s="6">
        <v>8.3000000000000007</v>
      </c>
      <c r="N54" s="3">
        <v>6.25</v>
      </c>
      <c r="O54" s="3">
        <v>2.74</v>
      </c>
      <c r="P54" s="65">
        <f t="shared" si="0"/>
        <v>7.3651801260210128</v>
      </c>
    </row>
    <row r="55" spans="2:16" x14ac:dyDescent="0.3">
      <c r="B55" s="58" t="s">
        <v>183</v>
      </c>
      <c r="C55" s="66">
        <v>6</v>
      </c>
      <c r="D55" s="66" t="s">
        <v>25</v>
      </c>
      <c r="E55" s="66" t="s">
        <v>26</v>
      </c>
      <c r="F55" s="66" t="s">
        <v>70</v>
      </c>
      <c r="G55" s="8">
        <v>2200</v>
      </c>
      <c r="H55" s="8">
        <v>145</v>
      </c>
      <c r="I55" s="3">
        <v>7.1999999999999995E-2</v>
      </c>
      <c r="J55" s="6">
        <v>16.2</v>
      </c>
      <c r="K55" s="3">
        <v>0</v>
      </c>
      <c r="L55" s="3">
        <v>0.182</v>
      </c>
      <c r="M55" s="6">
        <v>6.8</v>
      </c>
      <c r="N55" s="3">
        <v>6</v>
      </c>
      <c r="O55" s="3">
        <v>3.09</v>
      </c>
      <c r="P55" s="65">
        <f t="shared" si="0"/>
        <v>7.696212639346407</v>
      </c>
    </row>
    <row r="56" spans="2:16" x14ac:dyDescent="0.3">
      <c r="B56" s="58" t="s">
        <v>184</v>
      </c>
      <c r="C56" s="66">
        <v>6</v>
      </c>
      <c r="D56" s="66" t="s">
        <v>25</v>
      </c>
      <c r="E56" s="66" t="s">
        <v>26</v>
      </c>
      <c r="F56" s="66" t="s">
        <v>70</v>
      </c>
      <c r="G56" s="8">
        <v>3800</v>
      </c>
      <c r="H56" s="8">
        <v>190</v>
      </c>
      <c r="I56" s="3">
        <v>8.2000000000000003E-2</v>
      </c>
      <c r="J56" s="6">
        <v>18.5</v>
      </c>
      <c r="K56" s="3">
        <v>0</v>
      </c>
      <c r="L56" s="3">
        <v>0.192</v>
      </c>
      <c r="M56" s="6">
        <v>6.5</v>
      </c>
      <c r="N56" s="3">
        <v>6.25</v>
      </c>
      <c r="O56" s="3">
        <v>3.36</v>
      </c>
      <c r="P56" s="65">
        <f t="shared" si="0"/>
        <v>8.2427563457144775</v>
      </c>
    </row>
    <row r="57" spans="2:16" x14ac:dyDescent="0.3">
      <c r="B57" s="58" t="s">
        <v>185</v>
      </c>
      <c r="C57" s="66">
        <v>6</v>
      </c>
      <c r="D57" s="66" t="s">
        <v>25</v>
      </c>
      <c r="E57" s="66" t="s">
        <v>26</v>
      </c>
      <c r="F57" s="66" t="s">
        <v>70</v>
      </c>
      <c r="G57" s="8">
        <v>3200</v>
      </c>
      <c r="H57" s="8">
        <v>220</v>
      </c>
      <c r="I57" s="3">
        <v>8.5000000000000006E-2</v>
      </c>
      <c r="J57" s="6">
        <v>15.8</v>
      </c>
      <c r="K57" s="3">
        <v>0</v>
      </c>
      <c r="L57" s="3">
        <v>0.185</v>
      </c>
      <c r="M57" s="6">
        <v>4</v>
      </c>
      <c r="N57" s="3">
        <v>5.15</v>
      </c>
      <c r="O57" s="3">
        <v>3.36</v>
      </c>
      <c r="P57" s="65">
        <f t="shared" si="0"/>
        <v>8.0709060887878188</v>
      </c>
    </row>
    <row r="58" spans="2:16" x14ac:dyDescent="0.3">
      <c r="B58" s="58" t="s">
        <v>186</v>
      </c>
      <c r="C58" s="66">
        <v>6</v>
      </c>
      <c r="D58" s="66" t="s">
        <v>25</v>
      </c>
      <c r="E58" s="66" t="s">
        <v>26</v>
      </c>
      <c r="F58" s="66" t="s">
        <v>70</v>
      </c>
      <c r="G58" s="8">
        <v>4800</v>
      </c>
      <c r="H58" s="8">
        <v>260</v>
      </c>
      <c r="I58" s="3">
        <v>8.7999999999999995E-2</v>
      </c>
      <c r="J58" s="6">
        <v>20.2</v>
      </c>
      <c r="K58" s="3">
        <v>0</v>
      </c>
      <c r="L58" s="3">
        <v>0.19500000000000001</v>
      </c>
      <c r="M58" s="61">
        <v>7.3</v>
      </c>
      <c r="N58" s="3">
        <v>4</v>
      </c>
      <c r="O58" s="3">
        <v>4.3899999999999997</v>
      </c>
      <c r="P58" s="65">
        <f t="shared" si="0"/>
        <v>8.4763711968959825</v>
      </c>
    </row>
    <row r="59" spans="2:16" x14ac:dyDescent="0.3">
      <c r="B59" s="66" t="s">
        <v>14</v>
      </c>
      <c r="C59" s="66">
        <f>C49+1</f>
        <v>6</v>
      </c>
      <c r="D59" s="66" t="s">
        <v>25</v>
      </c>
      <c r="E59" s="66" t="s">
        <v>26</v>
      </c>
      <c r="F59" s="66" t="s">
        <v>70</v>
      </c>
      <c r="G59" s="8">
        <v>7387</v>
      </c>
      <c r="H59" s="8">
        <v>298</v>
      </c>
      <c r="I59" s="3">
        <f>H59/3329</f>
        <v>8.951637128266747E-2</v>
      </c>
      <c r="J59" s="6">
        <v>24.4</v>
      </c>
      <c r="K59" s="3">
        <v>0</v>
      </c>
      <c r="L59" s="3">
        <v>0.2</v>
      </c>
      <c r="M59" s="6">
        <v>8.6999999999999993</v>
      </c>
      <c r="N59" s="3">
        <v>4</v>
      </c>
      <c r="O59" s="3">
        <v>5.54</v>
      </c>
      <c r="P59" s="65">
        <f t="shared" si="0"/>
        <v>8.9074769775287379</v>
      </c>
    </row>
    <row r="60" spans="2:16" x14ac:dyDescent="0.3">
      <c r="B60" s="66" t="s">
        <v>64</v>
      </c>
      <c r="C60" s="66">
        <f>C50+1</f>
        <v>6</v>
      </c>
      <c r="D60" s="66" t="s">
        <v>25</v>
      </c>
      <c r="E60" s="66" t="s">
        <v>26</v>
      </c>
      <c r="F60" s="66" t="s">
        <v>70</v>
      </c>
      <c r="G60" s="8">
        <v>7991.2</v>
      </c>
      <c r="H60" s="8">
        <v>125</v>
      </c>
      <c r="I60" s="3">
        <f>H60/3863</f>
        <v>3.2358270774009837E-2</v>
      </c>
      <c r="J60" s="6">
        <v>17.100000000000001</v>
      </c>
      <c r="K60" s="3">
        <v>0</v>
      </c>
      <c r="L60" s="3">
        <v>0.21</v>
      </c>
      <c r="M60" s="6">
        <v>7.2</v>
      </c>
      <c r="N60" s="3">
        <v>6.5</v>
      </c>
      <c r="O60" s="3">
        <v>7.5</v>
      </c>
      <c r="P60" s="65">
        <f t="shared" si="0"/>
        <v>8.9860962152179393</v>
      </c>
    </row>
    <row r="61" spans="2:16" x14ac:dyDescent="0.3">
      <c r="B61" s="66" t="s">
        <v>65</v>
      </c>
      <c r="C61" s="66">
        <f>C51+1</f>
        <v>6</v>
      </c>
      <c r="D61" s="66" t="s">
        <v>25</v>
      </c>
      <c r="E61" s="66" t="s">
        <v>26</v>
      </c>
      <c r="F61" s="66" t="s">
        <v>70</v>
      </c>
      <c r="G61" s="8">
        <f>6926.8082</f>
        <v>6926.8082000000004</v>
      </c>
      <c r="H61" s="8">
        <v>78</v>
      </c>
      <c r="I61" s="3">
        <f>H61/4238</f>
        <v>1.8404907975460124E-2</v>
      </c>
      <c r="J61" s="6">
        <v>12.1</v>
      </c>
      <c r="K61" s="3">
        <v>0.22</v>
      </c>
      <c r="L61" s="3">
        <v>0.26</v>
      </c>
      <c r="M61" s="6">
        <v>8.1999999999999993</v>
      </c>
      <c r="N61" s="3">
        <v>6.5</v>
      </c>
      <c r="O61" s="3">
        <v>10</v>
      </c>
      <c r="P61" s="65">
        <f t="shared" si="0"/>
        <v>8.8431544088851144</v>
      </c>
    </row>
    <row r="62" spans="2:16" x14ac:dyDescent="0.3">
      <c r="B62" s="66" t="s">
        <v>66</v>
      </c>
      <c r="C62" s="66">
        <f>C52+1</f>
        <v>6</v>
      </c>
      <c r="D62" s="66" t="s">
        <v>25</v>
      </c>
      <c r="E62" s="66" t="s">
        <v>26</v>
      </c>
      <c r="F62" s="66" t="s">
        <v>70</v>
      </c>
      <c r="G62" s="8">
        <f>6438.8661</f>
        <v>6438.8661000000002</v>
      </c>
      <c r="H62" s="8">
        <v>20</v>
      </c>
      <c r="I62" s="3">
        <f>H62/4648</f>
        <v>4.3029259896729772E-3</v>
      </c>
      <c r="J62" s="6">
        <v>5.2</v>
      </c>
      <c r="K62" s="3">
        <v>0.34</v>
      </c>
      <c r="L62" s="3">
        <v>0.28999999999999998</v>
      </c>
      <c r="M62" s="6">
        <v>6.5</v>
      </c>
      <c r="N62" s="3">
        <v>6.25</v>
      </c>
      <c r="O62" s="3">
        <v>10.52</v>
      </c>
      <c r="P62" s="65">
        <f t="shared" si="0"/>
        <v>8.7701077321674337</v>
      </c>
    </row>
    <row r="63" spans="2:16" x14ac:dyDescent="0.3">
      <c r="B63" s="58" t="s">
        <v>181</v>
      </c>
      <c r="C63" s="66">
        <v>7</v>
      </c>
      <c r="D63" s="66" t="s">
        <v>27</v>
      </c>
      <c r="E63" s="66" t="s">
        <v>28</v>
      </c>
      <c r="F63" s="66" t="s">
        <v>71</v>
      </c>
      <c r="G63" s="8">
        <v>5200</v>
      </c>
      <c r="H63" s="8">
        <v>92</v>
      </c>
      <c r="I63" s="3">
        <v>1.7999999999999999E-2</v>
      </c>
      <c r="J63" s="6">
        <v>22.5</v>
      </c>
      <c r="K63" s="3">
        <v>0</v>
      </c>
      <c r="L63" s="3">
        <v>0.17499999999999999</v>
      </c>
      <c r="M63" s="6">
        <v>8</v>
      </c>
      <c r="N63" s="3">
        <v>6.75</v>
      </c>
      <c r="O63" s="3">
        <v>2.41</v>
      </c>
      <c r="P63" s="65">
        <f t="shared" si="0"/>
        <v>8.5564139045695189</v>
      </c>
    </row>
    <row r="64" spans="2:16" x14ac:dyDescent="0.3">
      <c r="B64" s="58" t="s">
        <v>182</v>
      </c>
      <c r="C64" s="66">
        <v>7</v>
      </c>
      <c r="D64" s="66" t="s">
        <v>27</v>
      </c>
      <c r="E64" s="66" t="s">
        <v>28</v>
      </c>
      <c r="F64" s="66" t="s">
        <v>71</v>
      </c>
      <c r="G64" s="8">
        <v>8500</v>
      </c>
      <c r="H64" s="8">
        <v>105</v>
      </c>
      <c r="I64" s="3">
        <v>0.02</v>
      </c>
      <c r="J64" s="6">
        <v>28</v>
      </c>
      <c r="K64" s="3">
        <v>0</v>
      </c>
      <c r="L64" s="3">
        <v>0.185</v>
      </c>
      <c r="M64" s="6">
        <v>8.3000000000000007</v>
      </c>
      <c r="N64" s="3">
        <v>6.25</v>
      </c>
      <c r="O64" s="3">
        <v>2.74</v>
      </c>
      <c r="P64" s="65">
        <f t="shared" si="0"/>
        <v>9.0478214424784085</v>
      </c>
    </row>
    <row r="65" spans="2:20" x14ac:dyDescent="0.3">
      <c r="B65" s="58" t="s">
        <v>183</v>
      </c>
      <c r="C65" s="66">
        <v>7</v>
      </c>
      <c r="D65" s="66" t="s">
        <v>27</v>
      </c>
      <c r="E65" s="66" t="s">
        <v>28</v>
      </c>
      <c r="F65" s="66" t="s">
        <v>71</v>
      </c>
      <c r="G65" s="8">
        <v>9800</v>
      </c>
      <c r="H65" s="8">
        <v>118</v>
      </c>
      <c r="I65" s="3">
        <v>2.2499999999999999E-2</v>
      </c>
      <c r="J65" s="6">
        <v>30.5</v>
      </c>
      <c r="K65" s="3">
        <v>0</v>
      </c>
      <c r="L65" s="3">
        <v>0.192</v>
      </c>
      <c r="M65" s="6">
        <v>6.8</v>
      </c>
      <c r="N65" s="3">
        <v>6</v>
      </c>
      <c r="O65" s="3">
        <v>3.09</v>
      </c>
      <c r="P65" s="65">
        <f t="shared" si="0"/>
        <v>9.1901376646586641</v>
      </c>
    </row>
    <row r="66" spans="2:20" x14ac:dyDescent="0.3">
      <c r="B66" s="58" t="s">
        <v>184</v>
      </c>
      <c r="C66" s="66">
        <v>7</v>
      </c>
      <c r="D66" s="66" t="s">
        <v>27</v>
      </c>
      <c r="E66" s="66" t="s">
        <v>28</v>
      </c>
      <c r="F66" s="66" t="s">
        <v>71</v>
      </c>
      <c r="G66" s="8">
        <v>7200</v>
      </c>
      <c r="H66" s="8">
        <v>130</v>
      </c>
      <c r="I66" s="3">
        <v>2.4500000000000001E-2</v>
      </c>
      <c r="J66" s="6">
        <v>25</v>
      </c>
      <c r="K66" s="3">
        <v>0</v>
      </c>
      <c r="L66" s="3">
        <v>0.17799999999999999</v>
      </c>
      <c r="M66" s="6">
        <v>6.5</v>
      </c>
      <c r="N66" s="3">
        <v>6.25</v>
      </c>
      <c r="O66" s="3">
        <v>3.36</v>
      </c>
      <c r="P66" s="65">
        <f t="shared" si="0"/>
        <v>8.8818363050041462</v>
      </c>
    </row>
    <row r="67" spans="2:20" x14ac:dyDescent="0.3">
      <c r="B67" s="58" t="s">
        <v>185</v>
      </c>
      <c r="C67" s="66">
        <v>7</v>
      </c>
      <c r="D67" s="66" t="s">
        <v>27</v>
      </c>
      <c r="E67" s="66" t="s">
        <v>28</v>
      </c>
      <c r="F67" s="66" t="s">
        <v>71</v>
      </c>
      <c r="G67" s="8">
        <v>4500</v>
      </c>
      <c r="H67" s="8">
        <v>140</v>
      </c>
      <c r="I67" s="3">
        <v>2.5499999999999998E-2</v>
      </c>
      <c r="J67" s="6">
        <v>18.5</v>
      </c>
      <c r="K67" s="3">
        <v>0</v>
      </c>
      <c r="L67" s="3">
        <v>0.16500000000000001</v>
      </c>
      <c r="M67" s="6">
        <v>4</v>
      </c>
      <c r="N67" s="3">
        <v>5.15</v>
      </c>
      <c r="O67" s="3">
        <v>3.36</v>
      </c>
      <c r="P67" s="65">
        <f t="shared" si="0"/>
        <v>8.4118326757584114</v>
      </c>
    </row>
    <row r="68" spans="2:20" x14ac:dyDescent="0.3">
      <c r="B68" s="58" t="s">
        <v>186</v>
      </c>
      <c r="C68" s="66">
        <v>7</v>
      </c>
      <c r="D68" s="66" t="s">
        <v>27</v>
      </c>
      <c r="E68" s="66" t="s">
        <v>28</v>
      </c>
      <c r="F68" s="66" t="s">
        <v>71</v>
      </c>
      <c r="G68" s="8">
        <v>4800</v>
      </c>
      <c r="H68" s="8">
        <v>152</v>
      </c>
      <c r="I68" s="3">
        <v>2.6200000000000001E-2</v>
      </c>
      <c r="J68" s="6">
        <v>20</v>
      </c>
      <c r="K68" s="3">
        <v>0</v>
      </c>
      <c r="L68" s="3">
        <v>0.16800000000000001</v>
      </c>
      <c r="M68" s="61">
        <v>7.3</v>
      </c>
      <c r="N68" s="3">
        <v>4</v>
      </c>
      <c r="O68" s="3">
        <v>4.3899999999999997</v>
      </c>
      <c r="P68" s="65">
        <f t="shared" ref="P68:P131" si="1">LN(G68)</f>
        <v>8.4763711968959825</v>
      </c>
    </row>
    <row r="69" spans="2:20" x14ac:dyDescent="0.3">
      <c r="B69" s="66" t="s">
        <v>14</v>
      </c>
      <c r="C69" s="66">
        <f>C59+1</f>
        <v>7</v>
      </c>
      <c r="D69" s="66" t="s">
        <v>27</v>
      </c>
      <c r="E69" s="66" t="s">
        <v>28</v>
      </c>
      <c r="F69" s="66" t="s">
        <v>71</v>
      </c>
      <c r="G69" s="8">
        <v>6159</v>
      </c>
      <c r="H69" s="8">
        <v>840</v>
      </c>
      <c r="I69" s="3">
        <v>2.75E-2</v>
      </c>
      <c r="J69" s="6">
        <v>25.2</v>
      </c>
      <c r="K69" s="3">
        <v>0</v>
      </c>
      <c r="L69" s="3">
        <v>0.21</v>
      </c>
      <c r="M69" s="6">
        <v>8.6999999999999993</v>
      </c>
      <c r="N69" s="3">
        <v>4</v>
      </c>
      <c r="O69" s="3">
        <v>5.54</v>
      </c>
      <c r="P69" s="65">
        <f t="shared" si="1"/>
        <v>8.7256697056870429</v>
      </c>
    </row>
    <row r="70" spans="2:20" x14ac:dyDescent="0.3">
      <c r="B70" s="66" t="s">
        <v>64</v>
      </c>
      <c r="C70" s="66">
        <f>C60+1</f>
        <v>7</v>
      </c>
      <c r="D70" s="66" t="s">
        <v>27</v>
      </c>
      <c r="E70" s="66" t="s">
        <v>28</v>
      </c>
      <c r="F70" s="66" t="s">
        <v>71</v>
      </c>
      <c r="G70" s="8">
        <v>8779</v>
      </c>
      <c r="H70" s="8">
        <v>1050</v>
      </c>
      <c r="I70" s="3">
        <v>3.1099999999999999E-2</v>
      </c>
      <c r="J70" s="6">
        <v>17.5</v>
      </c>
      <c r="K70" s="3">
        <v>0</v>
      </c>
      <c r="L70" s="3">
        <v>0.27</v>
      </c>
      <c r="M70" s="6">
        <v>7.2</v>
      </c>
      <c r="N70" s="3">
        <v>6.5</v>
      </c>
      <c r="O70" s="3">
        <v>7.5</v>
      </c>
      <c r="P70" s="65">
        <f t="shared" si="1"/>
        <v>9.0801177849262089</v>
      </c>
    </row>
    <row r="71" spans="2:20" x14ac:dyDescent="0.3">
      <c r="B71" s="66" t="s">
        <v>65</v>
      </c>
      <c r="C71" s="66">
        <f>C61+1</f>
        <v>7</v>
      </c>
      <c r="D71" s="66" t="s">
        <v>27</v>
      </c>
      <c r="E71" s="66" t="s">
        <v>28</v>
      </c>
      <c r="F71" s="66" t="s">
        <v>71</v>
      </c>
      <c r="G71" s="8">
        <v>14061</v>
      </c>
      <c r="H71" s="8">
        <v>1250</v>
      </c>
      <c r="I71" s="3">
        <v>3.5700000000000003E-2</v>
      </c>
      <c r="J71" s="6">
        <v>48.9</v>
      </c>
      <c r="K71" s="3">
        <v>0</v>
      </c>
      <c r="L71" s="3">
        <v>0.32</v>
      </c>
      <c r="M71" s="6">
        <v>8.1999999999999993</v>
      </c>
      <c r="N71" s="3">
        <v>6.5</v>
      </c>
      <c r="O71" s="3">
        <v>10</v>
      </c>
      <c r="P71" s="65">
        <f t="shared" si="1"/>
        <v>9.5511602865908163</v>
      </c>
    </row>
    <row r="72" spans="2:20" x14ac:dyDescent="0.3">
      <c r="B72" s="66" t="s">
        <v>66</v>
      </c>
      <c r="C72" s="66">
        <f>C62+1</f>
        <v>7</v>
      </c>
      <c r="D72" s="66" t="s">
        <v>27</v>
      </c>
      <c r="E72" s="66" t="s">
        <v>28</v>
      </c>
      <c r="F72" s="66" t="s">
        <v>71</v>
      </c>
      <c r="G72" s="8">
        <v>22110</v>
      </c>
      <c r="H72" s="8">
        <v>1320</v>
      </c>
      <c r="I72" s="3">
        <v>3.8100000000000002E-2</v>
      </c>
      <c r="J72" s="6">
        <v>40.200000000000003</v>
      </c>
      <c r="K72" s="3">
        <v>0</v>
      </c>
      <c r="L72" s="3">
        <v>0.33</v>
      </c>
      <c r="M72" s="6">
        <v>6.5</v>
      </c>
      <c r="N72" s="3">
        <v>6.25</v>
      </c>
      <c r="O72" s="3">
        <v>10.52</v>
      </c>
      <c r="P72" s="65">
        <f t="shared" si="1"/>
        <v>10.003785273851491</v>
      </c>
    </row>
    <row r="73" spans="2:20" x14ac:dyDescent="0.3">
      <c r="B73" s="58" t="s">
        <v>181</v>
      </c>
      <c r="C73" s="66">
        <v>8</v>
      </c>
      <c r="D73" s="66" t="s">
        <v>29</v>
      </c>
      <c r="E73" s="66" t="s">
        <v>30</v>
      </c>
      <c r="F73" s="66" t="s">
        <v>70</v>
      </c>
      <c r="G73" s="8">
        <v>1850</v>
      </c>
      <c r="H73" s="8">
        <v>210</v>
      </c>
      <c r="I73" s="3">
        <v>3.4200000000000001E-2</v>
      </c>
      <c r="J73" s="6">
        <v>12.5</v>
      </c>
      <c r="K73" s="3">
        <v>0.72</v>
      </c>
      <c r="L73" s="3">
        <v>0.19800000000000001</v>
      </c>
      <c r="M73" s="6">
        <v>8</v>
      </c>
      <c r="N73" s="3">
        <v>6.75</v>
      </c>
      <c r="O73" s="3">
        <v>2.41</v>
      </c>
      <c r="P73" s="65">
        <f t="shared" si="1"/>
        <v>7.5229409180723703</v>
      </c>
    </row>
    <row r="74" spans="2:20" x14ac:dyDescent="0.3">
      <c r="B74" s="58" t="s">
        <v>182</v>
      </c>
      <c r="C74" s="66">
        <v>8</v>
      </c>
      <c r="D74" s="66" t="s">
        <v>29</v>
      </c>
      <c r="E74" s="66" t="s">
        <v>30</v>
      </c>
      <c r="F74" s="66" t="s">
        <v>70</v>
      </c>
      <c r="G74" s="8">
        <v>2100</v>
      </c>
      <c r="H74" s="8">
        <v>238</v>
      </c>
      <c r="I74" s="3">
        <v>3.6799999999999999E-2</v>
      </c>
      <c r="J74" s="6">
        <v>13.2</v>
      </c>
      <c r="K74" s="3">
        <v>0.68</v>
      </c>
      <c r="L74" s="3">
        <v>0.20799999999999999</v>
      </c>
      <c r="M74" s="6">
        <v>8.3000000000000007</v>
      </c>
      <c r="N74" s="3">
        <v>6.25</v>
      </c>
      <c r="O74" s="3">
        <v>2.74</v>
      </c>
      <c r="P74" s="65">
        <f t="shared" si="1"/>
        <v>7.6496926237115144</v>
      </c>
    </row>
    <row r="75" spans="2:20" x14ac:dyDescent="0.3">
      <c r="B75" s="58" t="s">
        <v>183</v>
      </c>
      <c r="C75" s="66">
        <v>8</v>
      </c>
      <c r="D75" s="66" t="s">
        <v>29</v>
      </c>
      <c r="E75" s="66" t="s">
        <v>30</v>
      </c>
      <c r="F75" s="66" t="s">
        <v>70</v>
      </c>
      <c r="G75" s="8">
        <v>2450</v>
      </c>
      <c r="H75" s="8">
        <v>268</v>
      </c>
      <c r="I75" s="3">
        <v>3.95E-2</v>
      </c>
      <c r="J75" s="6">
        <v>14</v>
      </c>
      <c r="K75" s="3">
        <v>0.65</v>
      </c>
      <c r="L75" s="3">
        <v>0.218</v>
      </c>
      <c r="M75" s="6">
        <v>6.8</v>
      </c>
      <c r="N75" s="3">
        <v>6</v>
      </c>
      <c r="O75" s="3">
        <v>3.09</v>
      </c>
      <c r="P75" s="65">
        <f t="shared" si="1"/>
        <v>7.8038433035387724</v>
      </c>
    </row>
    <row r="76" spans="2:20" x14ac:dyDescent="0.3">
      <c r="B76" s="58" t="s">
        <v>184</v>
      </c>
      <c r="C76" s="66">
        <v>8</v>
      </c>
      <c r="D76" s="66" t="s">
        <v>29</v>
      </c>
      <c r="E76" s="66" t="s">
        <v>30</v>
      </c>
      <c r="F76" s="66" t="s">
        <v>70</v>
      </c>
      <c r="G76" s="8">
        <v>3800</v>
      </c>
      <c r="H76" s="8">
        <v>298</v>
      </c>
      <c r="I76" s="3">
        <v>4.2000000000000003E-2</v>
      </c>
      <c r="J76" s="6">
        <v>15.2</v>
      </c>
      <c r="K76" s="3">
        <v>0.62</v>
      </c>
      <c r="L76" s="3">
        <v>0.22500000000000001</v>
      </c>
      <c r="M76" s="6">
        <v>6.5</v>
      </c>
      <c r="N76" s="3">
        <v>6.25</v>
      </c>
      <c r="O76" s="3">
        <v>3.36</v>
      </c>
      <c r="P76" s="65">
        <f t="shared" si="1"/>
        <v>8.2427563457144775</v>
      </c>
    </row>
    <row r="77" spans="2:20" x14ac:dyDescent="0.3">
      <c r="B77" s="58" t="s">
        <v>185</v>
      </c>
      <c r="C77" s="66">
        <v>8</v>
      </c>
      <c r="D77" s="66" t="s">
        <v>29</v>
      </c>
      <c r="E77" s="66" t="s">
        <v>30</v>
      </c>
      <c r="F77" s="66" t="s">
        <v>70</v>
      </c>
      <c r="G77" s="8">
        <v>2200</v>
      </c>
      <c r="H77" s="8">
        <v>318</v>
      </c>
      <c r="I77" s="3">
        <v>4.3499999999999997E-2</v>
      </c>
      <c r="J77" s="6">
        <v>13.8</v>
      </c>
      <c r="K77" s="3">
        <v>0.6</v>
      </c>
      <c r="L77" s="3">
        <v>0.215</v>
      </c>
      <c r="M77" s="6">
        <v>4</v>
      </c>
      <c r="N77" s="3">
        <v>5.15</v>
      </c>
      <c r="O77" s="3">
        <v>3.36</v>
      </c>
      <c r="P77" s="65">
        <f t="shared" si="1"/>
        <v>7.696212639346407</v>
      </c>
      <c r="S77" s="17"/>
      <c r="T77" s="17"/>
    </row>
    <row r="78" spans="2:20" x14ac:dyDescent="0.3">
      <c r="B78" s="58" t="s">
        <v>186</v>
      </c>
      <c r="C78" s="66">
        <v>8</v>
      </c>
      <c r="D78" s="66" t="s">
        <v>29</v>
      </c>
      <c r="E78" s="66" t="s">
        <v>30</v>
      </c>
      <c r="F78" s="66" t="s">
        <v>70</v>
      </c>
      <c r="G78" s="8">
        <v>2600</v>
      </c>
      <c r="H78" s="8">
        <v>328</v>
      </c>
      <c r="I78" s="3">
        <v>4.48E-2</v>
      </c>
      <c r="J78" s="6">
        <v>14.5</v>
      </c>
      <c r="K78" s="3">
        <v>0.57999999999999996</v>
      </c>
      <c r="L78" s="3">
        <v>0.22</v>
      </c>
      <c r="M78" s="61">
        <v>7.3</v>
      </c>
      <c r="N78" s="3">
        <v>4</v>
      </c>
      <c r="O78" s="3">
        <v>4.3899999999999997</v>
      </c>
      <c r="P78" s="65">
        <f t="shared" si="1"/>
        <v>7.8632667240095735</v>
      </c>
    </row>
    <row r="79" spans="2:20" x14ac:dyDescent="0.3">
      <c r="B79" s="66" t="s">
        <v>14</v>
      </c>
      <c r="C79" s="66">
        <f>C69+1</f>
        <v>8</v>
      </c>
      <c r="D79" s="66" t="s">
        <v>29</v>
      </c>
      <c r="E79" s="66" t="s">
        <v>30</v>
      </c>
      <c r="F79" s="66" t="s">
        <v>70</v>
      </c>
      <c r="G79" s="8">
        <v>3126</v>
      </c>
      <c r="H79" s="8">
        <v>338</v>
      </c>
      <c r="I79" s="3">
        <v>4.8599999999999997E-2</v>
      </c>
      <c r="J79" s="6">
        <v>15.6</v>
      </c>
      <c r="K79" s="3">
        <v>0.57999999999999996</v>
      </c>
      <c r="L79" s="3">
        <v>0.25</v>
      </c>
      <c r="M79" s="6">
        <v>8.6999999999999993</v>
      </c>
      <c r="N79" s="3">
        <v>4</v>
      </c>
      <c r="O79" s="3">
        <v>5.54</v>
      </c>
      <c r="P79" s="65">
        <f t="shared" si="1"/>
        <v>8.0475095109814223</v>
      </c>
    </row>
    <row r="80" spans="2:20" x14ac:dyDescent="0.3">
      <c r="B80" s="66" t="s">
        <v>64</v>
      </c>
      <c r="C80" s="66">
        <f>C70+1</f>
        <v>8</v>
      </c>
      <c r="D80" s="66" t="s">
        <v>29</v>
      </c>
      <c r="E80" s="66" t="s">
        <v>30</v>
      </c>
      <c r="F80" s="66" t="s">
        <v>70</v>
      </c>
      <c r="G80" s="8">
        <v>5070</v>
      </c>
      <c r="H80" s="8">
        <v>435</v>
      </c>
      <c r="I80" s="3">
        <v>5.67E-2</v>
      </c>
      <c r="J80" s="6">
        <v>17.600000000000001</v>
      </c>
      <c r="K80" s="3">
        <v>0.54</v>
      </c>
      <c r="L80" s="3">
        <v>0.28000000000000003</v>
      </c>
      <c r="M80" s="6">
        <v>7.2</v>
      </c>
      <c r="N80" s="3">
        <v>6.5</v>
      </c>
      <c r="O80" s="3">
        <v>7.5</v>
      </c>
      <c r="P80" s="65">
        <f t="shared" si="1"/>
        <v>8.5310960965852285</v>
      </c>
    </row>
    <row r="81" spans="2:27" x14ac:dyDescent="0.3">
      <c r="B81" s="66" t="s">
        <v>65</v>
      </c>
      <c r="C81" s="66">
        <f>C71+1</f>
        <v>8</v>
      </c>
      <c r="D81" s="66" t="s">
        <v>29</v>
      </c>
      <c r="E81" s="66" t="s">
        <v>30</v>
      </c>
      <c r="F81" s="66" t="s">
        <v>70</v>
      </c>
      <c r="G81" s="8">
        <v>7698</v>
      </c>
      <c r="H81" s="8">
        <v>481</v>
      </c>
      <c r="I81" s="3">
        <v>6.4100000000000004E-2</v>
      </c>
      <c r="J81" s="6">
        <v>20.399999999999999</v>
      </c>
      <c r="K81" s="3">
        <v>0.54</v>
      </c>
      <c r="L81" s="3">
        <v>0.27</v>
      </c>
      <c r="M81" s="6">
        <v>8.1999999999999993</v>
      </c>
      <c r="N81" s="3">
        <v>6.5</v>
      </c>
      <c r="O81" s="3">
        <v>10</v>
      </c>
      <c r="P81" s="65">
        <f t="shared" si="1"/>
        <v>8.948715833843691</v>
      </c>
    </row>
    <row r="82" spans="2:27" x14ac:dyDescent="0.3">
      <c r="B82" s="66" t="s">
        <v>66</v>
      </c>
      <c r="C82" s="66">
        <f>C72+1</f>
        <v>8</v>
      </c>
      <c r="D82" s="66" t="s">
        <v>29</v>
      </c>
      <c r="E82" s="66" t="s">
        <v>30</v>
      </c>
      <c r="F82" s="66" t="s">
        <v>70</v>
      </c>
      <c r="G82" s="8">
        <v>6800</v>
      </c>
      <c r="H82" s="8">
        <v>500</v>
      </c>
      <c r="I82" s="3">
        <v>6.3500000000000001E-2</v>
      </c>
      <c r="J82" s="6">
        <v>18.3</v>
      </c>
      <c r="K82" s="3">
        <v>0.52</v>
      </c>
      <c r="L82" s="3">
        <v>0.4</v>
      </c>
      <c r="M82" s="6">
        <v>6.5</v>
      </c>
      <c r="N82" s="3">
        <v>6.25</v>
      </c>
      <c r="O82" s="3">
        <v>10.52</v>
      </c>
      <c r="P82" s="65">
        <f t="shared" si="1"/>
        <v>8.8246778911641979</v>
      </c>
    </row>
    <row r="83" spans="2:27" x14ac:dyDescent="0.3">
      <c r="B83" s="58" t="s">
        <v>181</v>
      </c>
      <c r="C83" s="66">
        <v>9</v>
      </c>
      <c r="D83" s="66" t="s">
        <v>31</v>
      </c>
      <c r="E83" s="66" t="s">
        <v>22</v>
      </c>
      <c r="F83" s="66" t="s">
        <v>70</v>
      </c>
      <c r="G83" s="8">
        <v>800</v>
      </c>
      <c r="H83" s="8">
        <v>210</v>
      </c>
      <c r="I83" s="3">
        <v>3.85E-2</v>
      </c>
      <c r="J83" s="6">
        <v>10.199999999999999</v>
      </c>
      <c r="K83" s="3">
        <v>1.28</v>
      </c>
      <c r="L83" s="3">
        <v>0.128</v>
      </c>
      <c r="M83" s="6">
        <v>8</v>
      </c>
      <c r="N83" s="3">
        <v>6.75</v>
      </c>
      <c r="O83" s="3">
        <v>2.41</v>
      </c>
      <c r="P83" s="65">
        <f t="shared" si="1"/>
        <v>6.6846117276679271</v>
      </c>
    </row>
    <row r="84" spans="2:27" x14ac:dyDescent="0.3">
      <c r="B84" s="58" t="s">
        <v>182</v>
      </c>
      <c r="C84" s="66">
        <v>9</v>
      </c>
      <c r="D84" s="66" t="s">
        <v>31</v>
      </c>
      <c r="E84" s="66" t="s">
        <v>22</v>
      </c>
      <c r="F84" s="66" t="s">
        <v>70</v>
      </c>
      <c r="G84" s="8">
        <v>1050</v>
      </c>
      <c r="H84" s="8">
        <v>268</v>
      </c>
      <c r="I84" s="3">
        <v>4.2000000000000003E-2</v>
      </c>
      <c r="J84" s="6">
        <v>11.5</v>
      </c>
      <c r="K84" s="3">
        <v>1.22</v>
      </c>
      <c r="L84" s="3">
        <v>0.13800000000000001</v>
      </c>
      <c r="M84" s="6">
        <v>8.3000000000000007</v>
      </c>
      <c r="N84" s="3">
        <v>6.25</v>
      </c>
      <c r="O84" s="3">
        <v>2.74</v>
      </c>
      <c r="P84" s="65">
        <f t="shared" si="1"/>
        <v>6.956545443151569</v>
      </c>
    </row>
    <row r="85" spans="2:27" x14ac:dyDescent="0.3">
      <c r="B85" s="58" t="s">
        <v>183</v>
      </c>
      <c r="C85" s="66">
        <v>9</v>
      </c>
      <c r="D85" s="66" t="s">
        <v>31</v>
      </c>
      <c r="E85" s="66" t="s">
        <v>22</v>
      </c>
      <c r="F85" s="66" t="s">
        <v>70</v>
      </c>
      <c r="G85" s="8">
        <v>1480</v>
      </c>
      <c r="H85" s="8">
        <v>328</v>
      </c>
      <c r="I85" s="3">
        <v>4.6199999999999998E-2</v>
      </c>
      <c r="J85" s="6">
        <v>12.8</v>
      </c>
      <c r="K85" s="3">
        <v>1.1499999999999999</v>
      </c>
      <c r="L85" s="3">
        <v>0.14799999999999999</v>
      </c>
      <c r="M85" s="6">
        <v>6.8</v>
      </c>
      <c r="N85" s="3">
        <v>6</v>
      </c>
      <c r="O85" s="3">
        <v>3.09</v>
      </c>
      <c r="P85" s="65">
        <f t="shared" si="1"/>
        <v>7.2997973667581606</v>
      </c>
      <c r="S85" s="18"/>
      <c r="T85" s="18"/>
      <c r="U85" s="18"/>
      <c r="V85" s="18"/>
      <c r="W85" s="18"/>
      <c r="X85" s="18"/>
    </row>
    <row r="86" spans="2:27" x14ac:dyDescent="0.3">
      <c r="B86" s="58" t="s">
        <v>184</v>
      </c>
      <c r="C86" s="66">
        <v>9</v>
      </c>
      <c r="D86" s="66" t="s">
        <v>31</v>
      </c>
      <c r="E86" s="66" t="s">
        <v>22</v>
      </c>
      <c r="F86" s="66" t="s">
        <v>70</v>
      </c>
      <c r="G86" s="8">
        <v>2200</v>
      </c>
      <c r="H86" s="8">
        <v>392</v>
      </c>
      <c r="I86" s="3">
        <v>4.9799999999999997E-2</v>
      </c>
      <c r="J86" s="6">
        <v>13.5</v>
      </c>
      <c r="K86" s="3">
        <v>1.1000000000000001</v>
      </c>
      <c r="L86" s="3">
        <v>0.155</v>
      </c>
      <c r="M86" s="6">
        <v>6.5</v>
      </c>
      <c r="N86" s="3">
        <v>6.25</v>
      </c>
      <c r="O86" s="3">
        <v>3.36</v>
      </c>
      <c r="P86" s="65">
        <f t="shared" si="1"/>
        <v>7.696212639346407</v>
      </c>
    </row>
    <row r="87" spans="2:27" x14ac:dyDescent="0.3">
      <c r="B87" s="58" t="s">
        <v>185</v>
      </c>
      <c r="C87" s="66">
        <v>9</v>
      </c>
      <c r="D87" s="66" t="s">
        <v>31</v>
      </c>
      <c r="E87" s="66" t="s">
        <v>22</v>
      </c>
      <c r="F87" s="66" t="s">
        <v>70</v>
      </c>
      <c r="G87" s="8">
        <v>2800</v>
      </c>
      <c r="H87" s="8">
        <v>435</v>
      </c>
      <c r="I87" s="3">
        <v>5.2200000000000003E-2</v>
      </c>
      <c r="J87" s="6">
        <v>12.8</v>
      </c>
      <c r="K87" s="3">
        <v>1.08</v>
      </c>
      <c r="L87" s="3">
        <v>0.152</v>
      </c>
      <c r="M87" s="6">
        <v>4</v>
      </c>
      <c r="N87" s="3">
        <v>5.15</v>
      </c>
      <c r="O87" s="3">
        <v>3.36</v>
      </c>
      <c r="P87" s="65">
        <f t="shared" si="1"/>
        <v>7.9373746961632952</v>
      </c>
    </row>
    <row r="88" spans="2:27" x14ac:dyDescent="0.3">
      <c r="B88" s="58" t="s">
        <v>186</v>
      </c>
      <c r="C88" s="66">
        <v>9</v>
      </c>
      <c r="D88" s="66" t="s">
        <v>31</v>
      </c>
      <c r="E88" s="66" t="s">
        <v>22</v>
      </c>
      <c r="F88" s="66" t="s">
        <v>70</v>
      </c>
      <c r="G88" s="8">
        <v>4800</v>
      </c>
      <c r="H88" s="8">
        <v>458</v>
      </c>
      <c r="I88" s="3">
        <v>5.4800000000000001E-2</v>
      </c>
      <c r="J88" s="6">
        <v>14.5</v>
      </c>
      <c r="K88" s="3">
        <v>1.1200000000000001</v>
      </c>
      <c r="L88" s="3">
        <v>0.158</v>
      </c>
      <c r="M88" s="61">
        <v>7.3</v>
      </c>
      <c r="N88" s="3">
        <v>4</v>
      </c>
      <c r="O88" s="3">
        <v>4.3899999999999997</v>
      </c>
      <c r="P88" s="65">
        <f t="shared" si="1"/>
        <v>8.4763711968959825</v>
      </c>
    </row>
    <row r="89" spans="2:27" x14ac:dyDescent="0.3">
      <c r="B89" s="66" t="s">
        <v>14</v>
      </c>
      <c r="C89" s="66">
        <f>C79+1</f>
        <v>9</v>
      </c>
      <c r="D89" s="66" t="s">
        <v>31</v>
      </c>
      <c r="E89" s="66" t="s">
        <v>22</v>
      </c>
      <c r="F89" s="66" t="s">
        <v>70</v>
      </c>
      <c r="G89" s="8">
        <f>9.67*1548</f>
        <v>14969.16</v>
      </c>
      <c r="H89" s="8">
        <v>483</v>
      </c>
      <c r="I89" s="3">
        <v>5.7700000000000001E-2</v>
      </c>
      <c r="J89" s="6">
        <v>18.600000000000001</v>
      </c>
      <c r="K89" s="3">
        <v>1.1100000000000001</v>
      </c>
      <c r="L89" s="3">
        <v>0.16</v>
      </c>
      <c r="M89" s="6">
        <v>8.6999999999999993</v>
      </c>
      <c r="N89" s="3">
        <v>4</v>
      </c>
      <c r="O89" s="3">
        <v>5.54</v>
      </c>
      <c r="P89" s="65">
        <f t="shared" si="1"/>
        <v>9.6137473636148751</v>
      </c>
    </row>
    <row r="90" spans="2:27" x14ac:dyDescent="0.3">
      <c r="B90" s="66" t="s">
        <v>64</v>
      </c>
      <c r="C90" s="66">
        <f>C80+1</f>
        <v>9</v>
      </c>
      <c r="D90" s="66" t="s">
        <v>31</v>
      </c>
      <c r="E90" s="66" t="s">
        <v>22</v>
      </c>
      <c r="F90" s="66" t="s">
        <v>70</v>
      </c>
      <c r="G90" s="8">
        <f>9.67*1004</f>
        <v>9708.68</v>
      </c>
      <c r="H90" s="8">
        <v>673</v>
      </c>
      <c r="I90" s="3">
        <v>6.3600000000000004E-2</v>
      </c>
      <c r="J90" s="6">
        <v>7.2</v>
      </c>
      <c r="K90" s="3">
        <v>0.92</v>
      </c>
      <c r="L90" s="3">
        <v>0.22</v>
      </c>
      <c r="M90" s="6">
        <v>7.2</v>
      </c>
      <c r="N90" s="3">
        <v>6.5</v>
      </c>
      <c r="O90" s="3">
        <v>7.5</v>
      </c>
      <c r="P90" s="65">
        <f t="shared" si="1"/>
        <v>9.1807756097168767</v>
      </c>
      <c r="S90" s="18"/>
      <c r="T90" s="18"/>
      <c r="U90" s="18"/>
      <c r="V90" s="18"/>
      <c r="W90" s="18"/>
      <c r="X90" s="18"/>
      <c r="Y90" s="18"/>
      <c r="Z90" s="18"/>
      <c r="AA90" s="18"/>
    </row>
    <row r="91" spans="2:27" x14ac:dyDescent="0.3">
      <c r="B91" s="66" t="s">
        <v>65</v>
      </c>
      <c r="C91" s="66">
        <f>C81+1</f>
        <v>9</v>
      </c>
      <c r="D91" s="66" t="s">
        <v>31</v>
      </c>
      <c r="E91" s="66" t="s">
        <v>22</v>
      </c>
      <c r="F91" s="66" t="s">
        <v>70</v>
      </c>
      <c r="G91" s="8">
        <f>9.67*1308</f>
        <v>12648.36</v>
      </c>
      <c r="H91" s="8">
        <v>695</v>
      </c>
      <c r="I91" s="3">
        <f>H91/9395</f>
        <v>7.3975518893028211E-2</v>
      </c>
      <c r="J91" s="6">
        <v>11</v>
      </c>
      <c r="K91" s="3">
        <v>0.51</v>
      </c>
      <c r="L91" s="3">
        <v>0.17</v>
      </c>
      <c r="M91" s="6">
        <v>8.1999999999999993</v>
      </c>
      <c r="N91" s="3">
        <v>6.5</v>
      </c>
      <c r="O91" s="3">
        <v>10</v>
      </c>
      <c r="P91" s="65">
        <f t="shared" si="1"/>
        <v>9.4452828414823475</v>
      </c>
      <c r="W91" s="19"/>
    </row>
    <row r="92" spans="2:27" x14ac:dyDescent="0.3">
      <c r="B92" s="66" t="s">
        <v>66</v>
      </c>
      <c r="C92" s="66">
        <f>C82+1</f>
        <v>9</v>
      </c>
      <c r="D92" s="66" t="s">
        <v>31</v>
      </c>
      <c r="E92" s="66" t="s">
        <v>22</v>
      </c>
      <c r="F92" s="66" t="s">
        <v>70</v>
      </c>
      <c r="G92" s="8">
        <f>9.67*1039</f>
        <v>10047.129999999999</v>
      </c>
      <c r="H92" s="8">
        <v>720</v>
      </c>
      <c r="I92" s="3">
        <f>H92/9809</f>
        <v>7.3401977775512287E-2</v>
      </c>
      <c r="J92" s="6">
        <v>10.7</v>
      </c>
      <c r="K92" s="3">
        <v>0.59</v>
      </c>
      <c r="L92" s="3">
        <v>0.14000000000000001</v>
      </c>
      <c r="M92" s="6">
        <v>6.5</v>
      </c>
      <c r="N92" s="3">
        <v>6.25</v>
      </c>
      <c r="O92" s="3">
        <v>10.52</v>
      </c>
      <c r="P92" s="65">
        <f t="shared" si="1"/>
        <v>9.2150423005644306</v>
      </c>
      <c r="S92" s="1"/>
      <c r="W92" s="19"/>
    </row>
    <row r="93" spans="2:27" x14ac:dyDescent="0.3">
      <c r="B93" s="58" t="s">
        <v>181</v>
      </c>
      <c r="C93" s="66">
        <v>10</v>
      </c>
      <c r="D93" s="66" t="s">
        <v>32</v>
      </c>
      <c r="E93" s="66" t="s">
        <v>33</v>
      </c>
      <c r="F93" s="66" t="s">
        <v>71</v>
      </c>
      <c r="G93" s="8">
        <v>2800</v>
      </c>
      <c r="H93" s="8">
        <v>145</v>
      </c>
      <c r="I93" s="3">
        <v>1.6199999999999999E-2</v>
      </c>
      <c r="J93" s="6">
        <v>10.5</v>
      </c>
      <c r="K93" s="3">
        <v>0.48</v>
      </c>
      <c r="L93" s="3">
        <v>9.5000000000000001E-2</v>
      </c>
      <c r="M93" s="6">
        <v>8</v>
      </c>
      <c r="N93" s="3">
        <v>6.75</v>
      </c>
      <c r="O93" s="3">
        <v>2.41</v>
      </c>
      <c r="P93" s="65">
        <f t="shared" si="1"/>
        <v>7.9373746961632952</v>
      </c>
      <c r="S93" s="1"/>
      <c r="W93" s="19"/>
    </row>
    <row r="94" spans="2:27" x14ac:dyDescent="0.3">
      <c r="B94" s="58" t="s">
        <v>182</v>
      </c>
      <c r="C94" s="66">
        <v>10</v>
      </c>
      <c r="D94" s="66" t="s">
        <v>32</v>
      </c>
      <c r="E94" s="66" t="s">
        <v>33</v>
      </c>
      <c r="F94" s="66" t="s">
        <v>71</v>
      </c>
      <c r="G94" s="8">
        <v>3500</v>
      </c>
      <c r="H94" s="8">
        <v>162</v>
      </c>
      <c r="I94" s="3">
        <v>1.7500000000000002E-2</v>
      </c>
      <c r="J94" s="6">
        <v>12.2</v>
      </c>
      <c r="K94" s="3">
        <v>0.45</v>
      </c>
      <c r="L94" s="3">
        <v>0.1</v>
      </c>
      <c r="M94" s="6">
        <v>8.3000000000000007</v>
      </c>
      <c r="N94" s="3">
        <v>6.25</v>
      </c>
      <c r="O94" s="3">
        <v>2.74</v>
      </c>
      <c r="P94" s="65">
        <f t="shared" si="1"/>
        <v>8.1605182474775049</v>
      </c>
      <c r="S94" s="1"/>
      <c r="W94" s="19"/>
    </row>
    <row r="95" spans="2:27" x14ac:dyDescent="0.3">
      <c r="B95" s="58" t="s">
        <v>183</v>
      </c>
      <c r="C95" s="66">
        <v>10</v>
      </c>
      <c r="D95" s="66" t="s">
        <v>32</v>
      </c>
      <c r="E95" s="66" t="s">
        <v>33</v>
      </c>
      <c r="F95" s="66" t="s">
        <v>71</v>
      </c>
      <c r="G95" s="8">
        <v>5200</v>
      </c>
      <c r="H95" s="8">
        <v>180</v>
      </c>
      <c r="I95" s="3">
        <v>1.8800000000000001E-2</v>
      </c>
      <c r="J95" s="6">
        <v>14.5</v>
      </c>
      <c r="K95" s="3">
        <v>0.42</v>
      </c>
      <c r="L95" s="3">
        <v>0.105</v>
      </c>
      <c r="M95" s="6">
        <v>6.8</v>
      </c>
      <c r="N95" s="3">
        <v>6</v>
      </c>
      <c r="O95" s="3">
        <v>3.09</v>
      </c>
      <c r="P95" s="65">
        <f t="shared" si="1"/>
        <v>8.5564139045695189</v>
      </c>
      <c r="W95" s="19"/>
    </row>
    <row r="96" spans="2:27" x14ac:dyDescent="0.3">
      <c r="B96" s="58" t="s">
        <v>184</v>
      </c>
      <c r="C96" s="66">
        <v>10</v>
      </c>
      <c r="D96" s="66" t="s">
        <v>32</v>
      </c>
      <c r="E96" s="66" t="s">
        <v>33</v>
      </c>
      <c r="F96" s="66" t="s">
        <v>71</v>
      </c>
      <c r="G96" s="8">
        <v>6200</v>
      </c>
      <c r="H96" s="8">
        <v>198</v>
      </c>
      <c r="I96" s="3">
        <v>1.9800000000000002E-2</v>
      </c>
      <c r="J96" s="6">
        <v>15.8</v>
      </c>
      <c r="K96" s="3">
        <v>0.4</v>
      </c>
      <c r="L96" s="3">
        <v>0.108</v>
      </c>
      <c r="M96" s="6">
        <v>6.5</v>
      </c>
      <c r="N96" s="3">
        <v>6.25</v>
      </c>
      <c r="O96" s="3">
        <v>3.36</v>
      </c>
      <c r="P96" s="65">
        <f t="shared" si="1"/>
        <v>8.7323045710331826</v>
      </c>
      <c r="S96" s="1"/>
      <c r="W96" s="19"/>
    </row>
    <row r="97" spans="2:23" x14ac:dyDescent="0.3">
      <c r="B97" s="58" t="s">
        <v>185</v>
      </c>
      <c r="C97" s="66">
        <v>10</v>
      </c>
      <c r="D97" s="66" t="s">
        <v>32</v>
      </c>
      <c r="E97" s="66" t="s">
        <v>33</v>
      </c>
      <c r="F97" s="66" t="s">
        <v>71</v>
      </c>
      <c r="G97" s="8">
        <v>2800</v>
      </c>
      <c r="H97" s="8">
        <v>205</v>
      </c>
      <c r="I97" s="3">
        <v>2.0199999999999999E-2</v>
      </c>
      <c r="J97" s="6">
        <v>11.2</v>
      </c>
      <c r="K97" s="3">
        <v>0.38</v>
      </c>
      <c r="L97" s="3">
        <v>9.8000000000000004E-2</v>
      </c>
      <c r="M97" s="6">
        <v>4</v>
      </c>
      <c r="N97" s="3">
        <v>5.15</v>
      </c>
      <c r="O97" s="3">
        <v>3.36</v>
      </c>
      <c r="P97" s="65">
        <f t="shared" si="1"/>
        <v>7.9373746961632952</v>
      </c>
      <c r="S97" s="1"/>
      <c r="W97" s="19"/>
    </row>
    <row r="98" spans="2:23" x14ac:dyDescent="0.3">
      <c r="B98" s="58" t="s">
        <v>186</v>
      </c>
      <c r="C98" s="66">
        <v>10</v>
      </c>
      <c r="D98" s="66" t="s">
        <v>32</v>
      </c>
      <c r="E98" s="66" t="s">
        <v>33</v>
      </c>
      <c r="F98" s="66" t="s">
        <v>71</v>
      </c>
      <c r="G98" s="8">
        <v>4200</v>
      </c>
      <c r="H98" s="8">
        <v>210</v>
      </c>
      <c r="I98" s="3">
        <v>2.0799999999999999E-2</v>
      </c>
      <c r="J98" s="6">
        <v>13.5</v>
      </c>
      <c r="K98" s="3">
        <v>0.35</v>
      </c>
      <c r="L98" s="3">
        <v>0.10199999999999999</v>
      </c>
      <c r="M98" s="61">
        <v>7.3</v>
      </c>
      <c r="N98" s="3">
        <v>4</v>
      </c>
      <c r="O98" s="3">
        <v>4.3899999999999997</v>
      </c>
      <c r="P98" s="65">
        <f t="shared" si="1"/>
        <v>8.3428398042714598</v>
      </c>
      <c r="S98" s="1"/>
      <c r="W98" s="19"/>
    </row>
    <row r="99" spans="2:23" x14ac:dyDescent="0.3">
      <c r="B99" s="66" t="s">
        <v>14</v>
      </c>
      <c r="C99" s="66">
        <f>C89+1</f>
        <v>10</v>
      </c>
      <c r="D99" s="66" t="s">
        <v>32</v>
      </c>
      <c r="E99" s="66" t="s">
        <v>33</v>
      </c>
      <c r="F99" s="66" t="s">
        <v>71</v>
      </c>
      <c r="G99" s="8">
        <v>7530</v>
      </c>
      <c r="H99" s="8">
        <v>218</v>
      </c>
      <c r="I99" s="3">
        <f>H99/14457</f>
        <v>1.5079200387355607E-2</v>
      </c>
      <c r="J99" s="6">
        <v>11.5</v>
      </c>
      <c r="K99" s="3">
        <v>0.2</v>
      </c>
      <c r="L99" s="3">
        <v>0.12</v>
      </c>
      <c r="M99" s="6">
        <v>8.6999999999999993</v>
      </c>
      <c r="N99" s="3">
        <v>4</v>
      </c>
      <c r="O99" s="3">
        <v>5.54</v>
      </c>
      <c r="P99" s="65">
        <f t="shared" si="1"/>
        <v>8.9266503207939394</v>
      </c>
      <c r="S99" s="1"/>
      <c r="W99" s="19"/>
    </row>
    <row r="100" spans="2:23" x14ac:dyDescent="0.3">
      <c r="B100" s="66" t="s">
        <v>64</v>
      </c>
      <c r="C100" s="66">
        <f>C90+1</f>
        <v>10</v>
      </c>
      <c r="D100" s="66" t="s">
        <v>32</v>
      </c>
      <c r="E100" s="66" t="s">
        <v>33</v>
      </c>
      <c r="F100" s="66" t="s">
        <v>71</v>
      </c>
      <c r="G100" s="8">
        <v>13726</v>
      </c>
      <c r="H100" s="8">
        <v>346.95</v>
      </c>
      <c r="I100" s="3">
        <f>H100/16550</f>
        <v>2.0963746223564953E-2</v>
      </c>
      <c r="J100" s="6">
        <v>12.8</v>
      </c>
      <c r="K100" s="3">
        <v>0.15</v>
      </c>
      <c r="L100" s="3">
        <v>0.19</v>
      </c>
      <c r="M100" s="6">
        <v>7.2</v>
      </c>
      <c r="N100" s="3">
        <v>6.5</v>
      </c>
      <c r="O100" s="3">
        <v>7.5</v>
      </c>
      <c r="P100" s="65">
        <f t="shared" si="1"/>
        <v>9.5270471234685807</v>
      </c>
      <c r="S100" s="1"/>
      <c r="W100" s="19"/>
    </row>
    <row r="101" spans="2:23" x14ac:dyDescent="0.3">
      <c r="B101" s="66" t="s">
        <v>65</v>
      </c>
      <c r="C101" s="66">
        <f>C91+1</f>
        <v>10</v>
      </c>
      <c r="D101" s="66" t="s">
        <v>32</v>
      </c>
      <c r="E101" s="66" t="s">
        <v>33</v>
      </c>
      <c r="F101" s="66" t="s">
        <v>71</v>
      </c>
      <c r="G101" s="8">
        <v>17321</v>
      </c>
      <c r="H101" s="8">
        <v>258.18</v>
      </c>
      <c r="I101" s="3">
        <f>H101/18097</f>
        <v>1.426645300326021E-2</v>
      </c>
      <c r="J101" s="6">
        <v>21.7</v>
      </c>
      <c r="K101" s="3">
        <v>0.15</v>
      </c>
      <c r="L101" s="3">
        <v>0.22</v>
      </c>
      <c r="M101" s="6">
        <v>8.1999999999999993</v>
      </c>
      <c r="N101" s="3">
        <v>6.5</v>
      </c>
      <c r="O101" s="3">
        <v>10</v>
      </c>
      <c r="P101" s="65">
        <f t="shared" si="1"/>
        <v>9.7596749171702797</v>
      </c>
    </row>
    <row r="102" spans="2:23" x14ac:dyDescent="0.3">
      <c r="B102" s="66" t="s">
        <v>66</v>
      </c>
      <c r="C102" s="66">
        <f>C92+1</f>
        <v>10</v>
      </c>
      <c r="D102" s="66" t="s">
        <v>32</v>
      </c>
      <c r="E102" s="66" t="s">
        <v>33</v>
      </c>
      <c r="F102" s="66" t="s">
        <v>71</v>
      </c>
      <c r="G102" s="8">
        <v>15500</v>
      </c>
      <c r="H102" s="8">
        <v>319.51</v>
      </c>
      <c r="I102" s="3">
        <f>H102/21006</f>
        <v>1.5210416071598591E-2</v>
      </c>
      <c r="J102" s="6">
        <v>15.9</v>
      </c>
      <c r="K102" s="3">
        <v>0.2</v>
      </c>
      <c r="L102" s="3">
        <v>0.22</v>
      </c>
      <c r="M102" s="6">
        <v>6.5</v>
      </c>
      <c r="N102" s="3">
        <v>6.25</v>
      </c>
      <c r="O102" s="3">
        <v>10.52</v>
      </c>
      <c r="P102" s="65">
        <f t="shared" si="1"/>
        <v>9.6485953029073386</v>
      </c>
    </row>
    <row r="103" spans="2:23" x14ac:dyDescent="0.3">
      <c r="B103" s="66" t="s">
        <v>181</v>
      </c>
      <c r="C103" s="66">
        <v>11</v>
      </c>
      <c r="D103" s="66" t="s">
        <v>34</v>
      </c>
      <c r="E103" s="66" t="s">
        <v>35</v>
      </c>
      <c r="F103" s="66" t="s">
        <v>69</v>
      </c>
      <c r="G103" s="8">
        <v>9200</v>
      </c>
      <c r="H103" s="8">
        <v>1200</v>
      </c>
      <c r="I103" s="3">
        <v>5.8200000000000002E-2</v>
      </c>
      <c r="J103" s="6">
        <v>14.5</v>
      </c>
      <c r="K103" s="3">
        <v>0.92</v>
      </c>
      <c r="L103" s="3">
        <v>0.105</v>
      </c>
      <c r="M103" s="6">
        <v>8</v>
      </c>
      <c r="N103" s="3">
        <v>6.75</v>
      </c>
      <c r="O103" s="3">
        <v>2.41</v>
      </c>
      <c r="P103" s="65">
        <f t="shared" si="1"/>
        <v>9.1269587630371323</v>
      </c>
    </row>
    <row r="104" spans="2:23" x14ac:dyDescent="0.3">
      <c r="B104" s="66" t="s">
        <v>182</v>
      </c>
      <c r="C104" s="66">
        <v>11</v>
      </c>
      <c r="D104" s="66" t="s">
        <v>34</v>
      </c>
      <c r="E104" s="66" t="s">
        <v>35</v>
      </c>
      <c r="F104" s="66" t="s">
        <v>69</v>
      </c>
      <c r="G104" s="8">
        <v>10500</v>
      </c>
      <c r="H104" s="8">
        <v>1350</v>
      </c>
      <c r="I104" s="3">
        <v>6.1800000000000001E-2</v>
      </c>
      <c r="J104" s="6">
        <v>15.2</v>
      </c>
      <c r="K104" s="3">
        <v>0.88</v>
      </c>
      <c r="L104" s="3">
        <v>0.108</v>
      </c>
      <c r="M104" s="6">
        <v>8.3000000000000007</v>
      </c>
      <c r="N104" s="3">
        <v>6.25</v>
      </c>
      <c r="O104" s="3">
        <v>2.74</v>
      </c>
      <c r="P104" s="65">
        <f t="shared" si="1"/>
        <v>9.259130536145614</v>
      </c>
    </row>
    <row r="105" spans="2:23" x14ac:dyDescent="0.3">
      <c r="B105" s="66" t="s">
        <v>183</v>
      </c>
      <c r="C105" s="66">
        <v>11</v>
      </c>
      <c r="D105" s="66" t="s">
        <v>34</v>
      </c>
      <c r="E105" s="66" t="s">
        <v>35</v>
      </c>
      <c r="F105" s="66" t="s">
        <v>69</v>
      </c>
      <c r="G105" s="8">
        <v>11800</v>
      </c>
      <c r="H105" s="8">
        <v>1500</v>
      </c>
      <c r="I105" s="3">
        <v>6.5199999999999994E-2</v>
      </c>
      <c r="J105" s="6">
        <v>15.8</v>
      </c>
      <c r="K105" s="3">
        <v>0.85</v>
      </c>
      <c r="L105" s="3">
        <v>0.112</v>
      </c>
      <c r="M105" s="6">
        <v>6.8</v>
      </c>
      <c r="N105" s="3">
        <v>6</v>
      </c>
      <c r="O105" s="3">
        <v>3.09</v>
      </c>
      <c r="P105" s="65">
        <f t="shared" si="1"/>
        <v>9.375854810453756</v>
      </c>
    </row>
    <row r="106" spans="2:23" x14ac:dyDescent="0.3">
      <c r="B106" s="66" t="s">
        <v>184</v>
      </c>
      <c r="C106" s="66">
        <v>11</v>
      </c>
      <c r="D106" s="66" t="s">
        <v>34</v>
      </c>
      <c r="E106" s="66" t="s">
        <v>35</v>
      </c>
      <c r="F106" s="66" t="s">
        <v>69</v>
      </c>
      <c r="G106" s="8">
        <v>13200</v>
      </c>
      <c r="H106" s="8">
        <v>1680</v>
      </c>
      <c r="I106" s="3">
        <v>6.88E-2</v>
      </c>
      <c r="J106" s="6">
        <v>16.2</v>
      </c>
      <c r="K106" s="3">
        <v>0.82</v>
      </c>
      <c r="L106" s="3">
        <v>0.115</v>
      </c>
      <c r="M106" s="6">
        <v>6.5</v>
      </c>
      <c r="N106" s="3">
        <v>6.25</v>
      </c>
      <c r="O106" s="3">
        <v>3.36</v>
      </c>
      <c r="P106" s="65">
        <f t="shared" si="1"/>
        <v>9.4879721085744624</v>
      </c>
    </row>
    <row r="107" spans="2:23" x14ac:dyDescent="0.3">
      <c r="B107" s="66" t="s">
        <v>185</v>
      </c>
      <c r="C107" s="66">
        <v>11</v>
      </c>
      <c r="D107" s="66" t="s">
        <v>34</v>
      </c>
      <c r="E107" s="66" t="s">
        <v>35</v>
      </c>
      <c r="F107" s="66" t="s">
        <v>69</v>
      </c>
      <c r="G107" s="8">
        <v>10500</v>
      </c>
      <c r="H107" s="8">
        <v>1800</v>
      </c>
      <c r="I107" s="3">
        <v>7.1199999999999999E-2</v>
      </c>
      <c r="J107" s="6">
        <v>14.5</v>
      </c>
      <c r="K107" s="3">
        <v>0.85</v>
      </c>
      <c r="L107" s="3">
        <v>0.11</v>
      </c>
      <c r="M107" s="6">
        <v>4</v>
      </c>
      <c r="N107" s="3">
        <v>5.15</v>
      </c>
      <c r="O107" s="3">
        <v>3.36</v>
      </c>
      <c r="P107" s="65">
        <f t="shared" si="1"/>
        <v>9.259130536145614</v>
      </c>
    </row>
    <row r="108" spans="2:23" x14ac:dyDescent="0.3">
      <c r="B108" s="66" t="s">
        <v>186</v>
      </c>
      <c r="C108" s="66">
        <v>11</v>
      </c>
      <c r="D108" s="66" t="s">
        <v>34</v>
      </c>
      <c r="E108" s="66" t="s">
        <v>35</v>
      </c>
      <c r="F108" s="66" t="s">
        <v>69</v>
      </c>
      <c r="G108" s="8">
        <v>15800</v>
      </c>
      <c r="H108" s="8">
        <v>1850</v>
      </c>
      <c r="I108" s="3">
        <v>7.2800000000000004E-2</v>
      </c>
      <c r="J108" s="6">
        <v>17.5</v>
      </c>
      <c r="K108" s="3">
        <v>0.8</v>
      </c>
      <c r="L108" s="3">
        <v>0.112</v>
      </c>
      <c r="M108" s="61">
        <v>7.3</v>
      </c>
      <c r="N108" s="3">
        <v>4</v>
      </c>
      <c r="O108" s="3">
        <v>4.3899999999999997</v>
      </c>
      <c r="P108" s="65">
        <f t="shared" si="1"/>
        <v>9.6677652190150578</v>
      </c>
    </row>
    <row r="109" spans="2:23" x14ac:dyDescent="0.3">
      <c r="B109" s="66" t="s">
        <v>14</v>
      </c>
      <c r="C109" s="66">
        <f>C99+1</f>
        <v>11</v>
      </c>
      <c r="D109" s="66" t="s">
        <v>34</v>
      </c>
      <c r="E109" s="66" t="s">
        <v>35</v>
      </c>
      <c r="F109" s="66" t="s">
        <v>69</v>
      </c>
      <c r="G109" s="8">
        <v>23642</v>
      </c>
      <c r="H109" s="8">
        <v>1906</v>
      </c>
      <c r="I109" s="3">
        <f>H109/25022</f>
        <v>7.6172967788346257E-2</v>
      </c>
      <c r="J109" s="6">
        <v>18</v>
      </c>
      <c r="K109" s="3">
        <v>0.76</v>
      </c>
      <c r="L109" s="3">
        <v>0.13</v>
      </c>
      <c r="M109" s="6">
        <v>8.6999999999999993</v>
      </c>
      <c r="N109" s="3">
        <v>4</v>
      </c>
      <c r="O109" s="3">
        <v>5.54</v>
      </c>
      <c r="P109" s="65">
        <f t="shared" si="1"/>
        <v>10.070780070310322</v>
      </c>
      <c r="T109" s="17"/>
      <c r="U109" s="17"/>
    </row>
    <row r="110" spans="2:23" x14ac:dyDescent="0.3">
      <c r="B110" s="66" t="s">
        <v>64</v>
      </c>
      <c r="C110" s="66">
        <f>C100+1</f>
        <v>11</v>
      </c>
      <c r="D110" s="66" t="s">
        <v>34</v>
      </c>
      <c r="E110" s="66" t="s">
        <v>35</v>
      </c>
      <c r="F110" s="66" t="s">
        <v>69</v>
      </c>
      <c r="G110" s="8">
        <v>25587</v>
      </c>
      <c r="H110" s="8">
        <v>2938</v>
      </c>
      <c r="I110" s="3">
        <f>H110/29910</f>
        <v>9.8228017385489808E-2</v>
      </c>
      <c r="J110" s="6">
        <v>10.5</v>
      </c>
      <c r="K110" s="3">
        <v>0.86</v>
      </c>
      <c r="L110" s="3">
        <v>0.18</v>
      </c>
      <c r="M110" s="6">
        <v>7.2</v>
      </c>
      <c r="N110" s="3">
        <v>6.5</v>
      </c>
      <c r="O110" s="3">
        <v>7.5</v>
      </c>
      <c r="P110" s="65">
        <f t="shared" si="1"/>
        <v>10.149839688987219</v>
      </c>
    </row>
    <row r="111" spans="2:23" x14ac:dyDescent="0.3">
      <c r="B111" s="66" t="s">
        <v>65</v>
      </c>
      <c r="C111" s="66">
        <f>C101+1</f>
        <v>11</v>
      </c>
      <c r="D111" s="66" t="s">
        <v>34</v>
      </c>
      <c r="E111" s="66" t="s">
        <v>35</v>
      </c>
      <c r="F111" s="66" t="s">
        <v>69</v>
      </c>
      <c r="G111" s="8">
        <v>65112</v>
      </c>
      <c r="H111" s="8">
        <v>3855</v>
      </c>
      <c r="I111" s="3">
        <f>H111/33392</f>
        <v>0.11544681360804983</v>
      </c>
      <c r="J111" s="6">
        <v>33.299999999999997</v>
      </c>
      <c r="K111" s="3">
        <v>0.84</v>
      </c>
      <c r="L111" s="3">
        <v>0.12</v>
      </c>
      <c r="M111" s="6">
        <v>8.1999999999999993</v>
      </c>
      <c r="N111" s="3">
        <v>6.5</v>
      </c>
      <c r="O111" s="3">
        <v>10</v>
      </c>
      <c r="P111" s="65">
        <f t="shared" si="1"/>
        <v>11.083864143006878</v>
      </c>
    </row>
    <row r="112" spans="2:23" x14ac:dyDescent="0.3">
      <c r="B112" s="66" t="s">
        <v>66</v>
      </c>
      <c r="C112" s="66">
        <f>C102+1</f>
        <v>11</v>
      </c>
      <c r="D112" s="66" t="s">
        <v>34</v>
      </c>
      <c r="E112" s="66" t="s">
        <v>35</v>
      </c>
      <c r="F112" s="66" t="s">
        <v>69</v>
      </c>
      <c r="G112" s="8">
        <v>74948</v>
      </c>
      <c r="H112" s="8">
        <v>4388</v>
      </c>
      <c r="I112" s="3">
        <f>H112/36573</f>
        <v>0.11997921964290596</v>
      </c>
      <c r="J112" s="6">
        <v>30.6</v>
      </c>
      <c r="K112" s="3">
        <v>0.43</v>
      </c>
      <c r="L112" s="3">
        <v>0.16</v>
      </c>
      <c r="M112" s="6">
        <v>6.5</v>
      </c>
      <c r="N112" s="3">
        <v>6.25</v>
      </c>
      <c r="O112" s="3">
        <v>10.52</v>
      </c>
      <c r="P112" s="65">
        <f t="shared" si="1"/>
        <v>11.224549818718403</v>
      </c>
    </row>
    <row r="113" spans="2:28" x14ac:dyDescent="0.3">
      <c r="B113" s="66" t="s">
        <v>181</v>
      </c>
      <c r="C113" s="66">
        <v>12</v>
      </c>
      <c r="D113" s="66" t="s">
        <v>36</v>
      </c>
      <c r="E113" s="66" t="s">
        <v>37</v>
      </c>
      <c r="F113" s="66" t="s">
        <v>71</v>
      </c>
      <c r="G113" s="8">
        <v>2800</v>
      </c>
      <c r="H113" s="8">
        <v>185</v>
      </c>
      <c r="I113" s="3">
        <v>1.95E-2</v>
      </c>
      <c r="J113" s="6">
        <v>13.5</v>
      </c>
      <c r="K113" s="3">
        <v>0.62</v>
      </c>
      <c r="L113" s="3">
        <v>0.105</v>
      </c>
      <c r="M113" s="6">
        <v>8</v>
      </c>
      <c r="N113" s="3">
        <v>6.75</v>
      </c>
      <c r="O113" s="3">
        <v>2.41</v>
      </c>
      <c r="P113" s="65">
        <f t="shared" si="1"/>
        <v>7.9373746961632952</v>
      </c>
    </row>
    <row r="114" spans="2:28" x14ac:dyDescent="0.3">
      <c r="B114" s="66" t="s">
        <v>182</v>
      </c>
      <c r="C114" s="66">
        <v>12</v>
      </c>
      <c r="D114" s="66" t="s">
        <v>36</v>
      </c>
      <c r="E114" s="66" t="s">
        <v>37</v>
      </c>
      <c r="F114" s="66" t="s">
        <v>71</v>
      </c>
      <c r="G114" s="8">
        <v>3500</v>
      </c>
      <c r="H114" s="8">
        <v>208</v>
      </c>
      <c r="I114" s="3">
        <v>2.1499999999999998E-2</v>
      </c>
      <c r="J114" s="6">
        <v>14.8</v>
      </c>
      <c r="K114" s="3">
        <v>0.6</v>
      </c>
      <c r="L114" s="3">
        <v>0.11</v>
      </c>
      <c r="M114" s="6">
        <v>8.3000000000000007</v>
      </c>
      <c r="N114" s="3">
        <v>6.25</v>
      </c>
      <c r="O114" s="3">
        <v>2.74</v>
      </c>
      <c r="P114" s="65">
        <f t="shared" si="1"/>
        <v>8.1605182474775049</v>
      </c>
    </row>
    <row r="115" spans="2:28" x14ac:dyDescent="0.3">
      <c r="B115" s="66" t="s">
        <v>183</v>
      </c>
      <c r="C115" s="66">
        <v>12</v>
      </c>
      <c r="D115" s="66" t="s">
        <v>36</v>
      </c>
      <c r="E115" s="66" t="s">
        <v>37</v>
      </c>
      <c r="F115" s="66" t="s">
        <v>71</v>
      </c>
      <c r="G115" s="8">
        <v>4200</v>
      </c>
      <c r="H115" s="8">
        <v>232</v>
      </c>
      <c r="I115" s="3">
        <v>2.35E-2</v>
      </c>
      <c r="J115" s="6">
        <v>15.5</v>
      </c>
      <c r="K115" s="3">
        <v>0.57999999999999996</v>
      </c>
      <c r="L115" s="3">
        <v>0.115</v>
      </c>
      <c r="M115" s="6">
        <v>6.8</v>
      </c>
      <c r="N115" s="3">
        <v>6</v>
      </c>
      <c r="O115" s="3">
        <v>3.09</v>
      </c>
      <c r="P115" s="65">
        <f t="shared" si="1"/>
        <v>8.3428398042714598</v>
      </c>
    </row>
    <row r="116" spans="2:28" x14ac:dyDescent="0.3">
      <c r="B116" s="66" t="s">
        <v>184</v>
      </c>
      <c r="C116" s="66">
        <v>12</v>
      </c>
      <c r="D116" s="66" t="s">
        <v>36</v>
      </c>
      <c r="E116" s="66" t="s">
        <v>37</v>
      </c>
      <c r="F116" s="66" t="s">
        <v>71</v>
      </c>
      <c r="G116" s="8">
        <v>4800</v>
      </c>
      <c r="H116" s="8">
        <v>258</v>
      </c>
      <c r="I116" s="3">
        <v>2.52E-2</v>
      </c>
      <c r="J116" s="6">
        <v>15.8</v>
      </c>
      <c r="K116" s="3">
        <v>0.56000000000000005</v>
      </c>
      <c r="L116" s="3">
        <v>0.11799999999999999</v>
      </c>
      <c r="M116" s="6">
        <v>6.5</v>
      </c>
      <c r="N116" s="3">
        <v>6.25</v>
      </c>
      <c r="O116" s="3">
        <v>3.36</v>
      </c>
      <c r="P116" s="65">
        <f t="shared" si="1"/>
        <v>8.4763711968959825</v>
      </c>
    </row>
    <row r="117" spans="2:28" x14ac:dyDescent="0.3">
      <c r="B117" s="66" t="s">
        <v>185</v>
      </c>
      <c r="C117" s="66">
        <v>12</v>
      </c>
      <c r="D117" s="66" t="s">
        <v>36</v>
      </c>
      <c r="E117" s="66" t="s">
        <v>37</v>
      </c>
      <c r="F117" s="66" t="s">
        <v>71</v>
      </c>
      <c r="G117" s="8">
        <v>3200</v>
      </c>
      <c r="H117" s="8">
        <v>272</v>
      </c>
      <c r="I117" s="3">
        <v>2.6200000000000001E-2</v>
      </c>
      <c r="J117" s="6">
        <v>12.8</v>
      </c>
      <c r="K117" s="3">
        <v>0.57999999999999996</v>
      </c>
      <c r="L117" s="3">
        <v>0.108</v>
      </c>
      <c r="M117" s="6">
        <v>4</v>
      </c>
      <c r="N117" s="3">
        <v>5.15</v>
      </c>
      <c r="O117" s="3">
        <v>3.36</v>
      </c>
      <c r="P117" s="65">
        <f t="shared" si="1"/>
        <v>8.0709060887878188</v>
      </c>
      <c r="T117" s="18"/>
      <c r="U117" s="18"/>
      <c r="V117" s="18"/>
      <c r="W117" s="18"/>
      <c r="X117" s="18"/>
      <c r="Y117" s="18"/>
    </row>
    <row r="118" spans="2:28" x14ac:dyDescent="0.3">
      <c r="B118" s="66" t="s">
        <v>186</v>
      </c>
      <c r="C118" s="66">
        <v>12</v>
      </c>
      <c r="D118" s="66" t="s">
        <v>36</v>
      </c>
      <c r="E118" s="66" t="s">
        <v>37</v>
      </c>
      <c r="F118" s="66" t="s">
        <v>71</v>
      </c>
      <c r="G118" s="8">
        <v>3800</v>
      </c>
      <c r="H118" s="8">
        <v>285</v>
      </c>
      <c r="I118" s="3">
        <v>2.7199999999999998E-2</v>
      </c>
      <c r="J118" s="6">
        <v>14.2</v>
      </c>
      <c r="K118" s="3">
        <v>0.56000000000000005</v>
      </c>
      <c r="L118" s="3">
        <v>0.112</v>
      </c>
      <c r="M118" s="61">
        <v>7.3</v>
      </c>
      <c r="N118" s="3">
        <v>4</v>
      </c>
      <c r="O118" s="3">
        <v>4.3899999999999997</v>
      </c>
      <c r="P118" s="65">
        <f t="shared" si="1"/>
        <v>8.2427563457144775</v>
      </c>
    </row>
    <row r="119" spans="2:28" x14ac:dyDescent="0.3">
      <c r="B119" s="66" t="s">
        <v>14</v>
      </c>
      <c r="C119" s="66">
        <f>C109+1</f>
        <v>12</v>
      </c>
      <c r="D119" s="66" t="s">
        <v>36</v>
      </c>
      <c r="E119" s="66" t="s">
        <v>37</v>
      </c>
      <c r="F119" s="66" t="s">
        <v>71</v>
      </c>
      <c r="G119" s="8">
        <v>5460</v>
      </c>
      <c r="H119" s="8">
        <v>308</v>
      </c>
      <c r="I119" s="3">
        <f>H119/19580</f>
        <v>1.5730337078651686E-2</v>
      </c>
      <c r="J119" s="6">
        <v>12</v>
      </c>
      <c r="K119" s="3">
        <v>0.54</v>
      </c>
      <c r="L119" s="3">
        <v>0.13</v>
      </c>
      <c r="M119" s="6">
        <v>8.6999999999999993</v>
      </c>
      <c r="N119" s="3">
        <v>4</v>
      </c>
      <c r="O119" s="3">
        <v>5.54</v>
      </c>
      <c r="P119" s="65">
        <f t="shared" si="1"/>
        <v>8.6052040687389511</v>
      </c>
    </row>
    <row r="120" spans="2:28" x14ac:dyDescent="0.3">
      <c r="B120" s="66" t="s">
        <v>64</v>
      </c>
      <c r="C120" s="66">
        <f>C110+1</f>
        <v>12</v>
      </c>
      <c r="D120" s="66" t="s">
        <v>36</v>
      </c>
      <c r="E120" s="66" t="s">
        <v>37</v>
      </c>
      <c r="F120" s="66" t="s">
        <v>71</v>
      </c>
      <c r="G120" s="8">
        <v>8692</v>
      </c>
      <c r="H120" s="8">
        <v>743</v>
      </c>
      <c r="I120" s="3">
        <f>H120/17211</f>
        <v>4.3170065655685319E-2</v>
      </c>
      <c r="J120" s="6">
        <v>19.8</v>
      </c>
      <c r="K120" s="3">
        <v>0.55000000000000004</v>
      </c>
      <c r="L120" s="3">
        <v>0.14000000000000001</v>
      </c>
      <c r="M120" s="6">
        <v>7.2</v>
      </c>
      <c r="N120" s="3">
        <v>6.5</v>
      </c>
      <c r="O120" s="3">
        <v>7.5</v>
      </c>
      <c r="P120" s="65">
        <f t="shared" si="1"/>
        <v>9.0701583413763203</v>
      </c>
    </row>
    <row r="121" spans="2:28" x14ac:dyDescent="0.3">
      <c r="B121" s="66" t="s">
        <v>65</v>
      </c>
      <c r="C121" s="66">
        <f>C111+1</f>
        <v>12</v>
      </c>
      <c r="D121" s="66" t="s">
        <v>36</v>
      </c>
      <c r="E121" s="66" t="s">
        <v>37</v>
      </c>
      <c r="F121" s="66" t="s">
        <v>71</v>
      </c>
      <c r="G121" s="8">
        <v>17379</v>
      </c>
      <c r="H121" s="8">
        <v>305.95999999999998</v>
      </c>
      <c r="I121" s="3">
        <f>H121/22037</f>
        <v>1.3883922493987384E-2</v>
      </c>
      <c r="J121" s="6">
        <v>38.4</v>
      </c>
      <c r="K121" s="3">
        <v>0.56999999999999995</v>
      </c>
      <c r="L121" s="3">
        <v>0.16</v>
      </c>
      <c r="M121" s="6">
        <v>8.1999999999999993</v>
      </c>
      <c r="N121" s="3">
        <v>6.5</v>
      </c>
      <c r="O121" s="3">
        <v>10</v>
      </c>
      <c r="P121" s="65">
        <f t="shared" si="1"/>
        <v>9.7630178597647337</v>
      </c>
    </row>
    <row r="122" spans="2:28" x14ac:dyDescent="0.3">
      <c r="B122" s="66" t="s">
        <v>66</v>
      </c>
      <c r="C122" s="66">
        <f>C112+1</f>
        <v>12</v>
      </c>
      <c r="D122" s="66" t="s">
        <v>36</v>
      </c>
      <c r="E122" s="66" t="s">
        <v>37</v>
      </c>
      <c r="F122" s="66" t="s">
        <v>71</v>
      </c>
      <c r="G122" s="8">
        <v>16642</v>
      </c>
      <c r="H122" s="8">
        <v>645</v>
      </c>
      <c r="I122" s="3">
        <f>H122/25584</f>
        <v>2.5211069418386491E-2</v>
      </c>
      <c r="J122" s="6">
        <v>30.6</v>
      </c>
      <c r="K122" s="3">
        <v>0.47</v>
      </c>
      <c r="L122" s="3">
        <v>0.16</v>
      </c>
      <c r="M122" s="6">
        <v>6.5</v>
      </c>
      <c r="N122" s="3">
        <v>6.25</v>
      </c>
      <c r="O122" s="3">
        <v>10.52</v>
      </c>
      <c r="P122" s="65">
        <f t="shared" si="1"/>
        <v>9.7196848994603755</v>
      </c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2:28" x14ac:dyDescent="0.3">
      <c r="B123" s="66" t="s">
        <v>181</v>
      </c>
      <c r="C123" s="66">
        <v>13</v>
      </c>
      <c r="D123" s="66" t="s">
        <v>38</v>
      </c>
      <c r="E123" s="66" t="s">
        <v>39</v>
      </c>
      <c r="F123" s="66" t="s">
        <v>59</v>
      </c>
      <c r="G123" s="8">
        <v>50000</v>
      </c>
      <c r="H123" s="8">
        <v>2200</v>
      </c>
      <c r="I123" s="3">
        <v>4.5199999999999997E-2</v>
      </c>
      <c r="J123" s="6">
        <v>22.5</v>
      </c>
      <c r="K123" s="3">
        <v>1.62</v>
      </c>
      <c r="L123" s="3">
        <v>9.5000000000000001E-2</v>
      </c>
      <c r="M123" s="6">
        <v>8</v>
      </c>
      <c r="N123" s="3">
        <v>6.75</v>
      </c>
      <c r="O123" s="3">
        <v>2.41</v>
      </c>
      <c r="P123" s="65">
        <f t="shared" si="1"/>
        <v>10.819778284410283</v>
      </c>
      <c r="X123" s="19"/>
    </row>
    <row r="124" spans="2:28" x14ac:dyDescent="0.3">
      <c r="B124" s="66" t="s">
        <v>182</v>
      </c>
      <c r="C124" s="66">
        <v>13</v>
      </c>
      <c r="D124" s="66" t="s">
        <v>38</v>
      </c>
      <c r="E124" s="66" t="s">
        <v>39</v>
      </c>
      <c r="F124" s="66" t="s">
        <v>59</v>
      </c>
      <c r="G124" s="8">
        <v>60000</v>
      </c>
      <c r="H124" s="8">
        <v>2580</v>
      </c>
      <c r="I124" s="3">
        <v>4.8800000000000003E-2</v>
      </c>
      <c r="J124" s="6">
        <v>24.2</v>
      </c>
      <c r="K124" s="3">
        <v>1.58</v>
      </c>
      <c r="L124" s="3">
        <v>9.8000000000000004E-2</v>
      </c>
      <c r="M124" s="6">
        <v>8.3000000000000007</v>
      </c>
      <c r="N124" s="3">
        <v>6.25</v>
      </c>
      <c r="O124" s="3">
        <v>2.74</v>
      </c>
      <c r="P124" s="65">
        <f t="shared" si="1"/>
        <v>11.002099841204238</v>
      </c>
      <c r="T124" s="1"/>
      <c r="X124" s="19"/>
    </row>
    <row r="125" spans="2:28" x14ac:dyDescent="0.3">
      <c r="B125" s="66" t="s">
        <v>183</v>
      </c>
      <c r="C125" s="66">
        <v>13</v>
      </c>
      <c r="D125" s="66" t="s">
        <v>38</v>
      </c>
      <c r="E125" s="66" t="s">
        <v>39</v>
      </c>
      <c r="F125" s="66" t="s">
        <v>59</v>
      </c>
      <c r="G125" s="8">
        <v>80000</v>
      </c>
      <c r="H125" s="8">
        <v>3050</v>
      </c>
      <c r="I125" s="3">
        <v>5.28E-2</v>
      </c>
      <c r="J125" s="6">
        <v>26.5</v>
      </c>
      <c r="K125" s="3">
        <v>1.52</v>
      </c>
      <c r="L125" s="3">
        <v>0.10199999999999999</v>
      </c>
      <c r="M125" s="6">
        <v>6.8</v>
      </c>
      <c r="N125" s="3">
        <v>6</v>
      </c>
      <c r="O125" s="3">
        <v>3.09</v>
      </c>
      <c r="P125" s="65">
        <f t="shared" si="1"/>
        <v>11.289781913656018</v>
      </c>
      <c r="T125" s="1"/>
      <c r="X125" s="19"/>
    </row>
    <row r="126" spans="2:28" x14ac:dyDescent="0.3">
      <c r="B126" s="66" t="s">
        <v>184</v>
      </c>
      <c r="C126" s="66">
        <v>13</v>
      </c>
      <c r="D126" s="66" t="s">
        <v>38</v>
      </c>
      <c r="E126" s="66" t="s">
        <v>39</v>
      </c>
      <c r="F126" s="66" t="s">
        <v>59</v>
      </c>
      <c r="G126" s="8">
        <v>95000</v>
      </c>
      <c r="H126" s="8">
        <v>3480</v>
      </c>
      <c r="I126" s="3">
        <v>5.5800000000000002E-2</v>
      </c>
      <c r="J126" s="6">
        <v>25.8</v>
      </c>
      <c r="K126" s="3">
        <v>1.48</v>
      </c>
      <c r="L126" s="3">
        <v>0.1</v>
      </c>
      <c r="M126" s="6">
        <v>6.5</v>
      </c>
      <c r="N126" s="3">
        <v>6.25</v>
      </c>
      <c r="O126" s="3">
        <v>3.36</v>
      </c>
      <c r="P126" s="65">
        <f t="shared" si="1"/>
        <v>11.461632170582678</v>
      </c>
      <c r="T126" s="1"/>
      <c r="X126" s="19"/>
    </row>
    <row r="127" spans="2:28" x14ac:dyDescent="0.3">
      <c r="B127" s="66" t="s">
        <v>185</v>
      </c>
      <c r="C127" s="66">
        <v>13</v>
      </c>
      <c r="D127" s="66" t="s">
        <v>38</v>
      </c>
      <c r="E127" s="66" t="s">
        <v>39</v>
      </c>
      <c r="F127" s="66" t="s">
        <v>59</v>
      </c>
      <c r="G127" s="8">
        <v>75000</v>
      </c>
      <c r="H127" s="8">
        <v>3680</v>
      </c>
      <c r="I127" s="3">
        <v>5.7200000000000001E-2</v>
      </c>
      <c r="J127" s="6">
        <v>22.5</v>
      </c>
      <c r="K127" s="3">
        <v>1.52</v>
      </c>
      <c r="L127" s="3">
        <v>9.5000000000000001E-2</v>
      </c>
      <c r="M127" s="6">
        <v>4</v>
      </c>
      <c r="N127" s="3">
        <v>5.15</v>
      </c>
      <c r="O127" s="3">
        <v>3.36</v>
      </c>
      <c r="P127" s="65">
        <f t="shared" si="1"/>
        <v>11.225243392518447</v>
      </c>
      <c r="T127" s="1"/>
      <c r="X127" s="19"/>
    </row>
    <row r="128" spans="2:28" x14ac:dyDescent="0.3">
      <c r="B128" s="66" t="s">
        <v>186</v>
      </c>
      <c r="C128" s="66">
        <v>13</v>
      </c>
      <c r="D128" s="66" t="s">
        <v>38</v>
      </c>
      <c r="E128" s="66" t="s">
        <v>39</v>
      </c>
      <c r="F128" s="66" t="s">
        <v>59</v>
      </c>
      <c r="G128" s="8">
        <v>100000</v>
      </c>
      <c r="H128" s="8">
        <v>3750</v>
      </c>
      <c r="I128" s="3">
        <v>3.7999999999999999E-2</v>
      </c>
      <c r="J128" s="6">
        <v>25.8</v>
      </c>
      <c r="K128" s="3">
        <v>1.5</v>
      </c>
      <c r="L128" s="3">
        <v>0.108</v>
      </c>
      <c r="M128" s="61">
        <v>7.3</v>
      </c>
      <c r="N128" s="3">
        <v>4</v>
      </c>
      <c r="O128" s="3">
        <v>4.3899999999999997</v>
      </c>
      <c r="P128" s="65">
        <f t="shared" si="1"/>
        <v>11.512925464970229</v>
      </c>
      <c r="T128" s="1"/>
      <c r="X128" s="19"/>
    </row>
    <row r="129" spans="2:16" x14ac:dyDescent="0.3">
      <c r="B129" s="66" t="s">
        <v>14</v>
      </c>
      <c r="C129" s="66">
        <f>C119+1</f>
        <v>13</v>
      </c>
      <c r="D129" s="66" t="s">
        <v>38</v>
      </c>
      <c r="E129" s="66" t="s">
        <v>39</v>
      </c>
      <c r="F129" s="66" t="s">
        <v>59</v>
      </c>
      <c r="G129" s="8">
        <f>(2112373230 /10000000)*785</f>
        <v>165821.29855500002</v>
      </c>
      <c r="H129" s="8">
        <v>3813</v>
      </c>
      <c r="I129" s="3">
        <f>H129/99685</f>
        <v>3.8250489040477502E-2</v>
      </c>
      <c r="J129" s="6">
        <v>29.3</v>
      </c>
      <c r="K129" s="3">
        <v>1.48</v>
      </c>
      <c r="L129" s="3">
        <v>0.11</v>
      </c>
      <c r="M129" s="6">
        <v>8.6999999999999993</v>
      </c>
      <c r="N129" s="3">
        <v>4</v>
      </c>
      <c r="O129" s="3">
        <v>5.54</v>
      </c>
      <c r="P129" s="65">
        <f t="shared" si="1"/>
        <v>12.018665972751595</v>
      </c>
    </row>
    <row r="130" spans="2:16" x14ac:dyDescent="0.3">
      <c r="B130" s="66" t="s">
        <v>64</v>
      </c>
      <c r="C130" s="66">
        <f>C120+1</f>
        <v>13</v>
      </c>
      <c r="D130" s="66" t="s">
        <v>38</v>
      </c>
      <c r="E130" s="66" t="s">
        <v>39</v>
      </c>
      <c r="F130" s="66" t="s">
        <v>59</v>
      </c>
      <c r="G130" s="8">
        <f>(2160138945/10000000)*631</f>
        <v>136304.7674295</v>
      </c>
      <c r="H130" s="8">
        <v>9141</v>
      </c>
      <c r="I130" s="3">
        <f>H130/114905</f>
        <v>7.9552673948044036E-2</v>
      </c>
      <c r="J130" s="6">
        <v>25.6</v>
      </c>
      <c r="K130" s="3">
        <v>1.65</v>
      </c>
      <c r="L130" s="3">
        <v>0.1</v>
      </c>
      <c r="M130" s="6">
        <v>7.2</v>
      </c>
      <c r="N130" s="3">
        <v>6.5</v>
      </c>
      <c r="O130" s="3">
        <v>7.5</v>
      </c>
      <c r="P130" s="65">
        <f t="shared" si="1"/>
        <v>11.822648594545413</v>
      </c>
    </row>
    <row r="131" spans="2:16" x14ac:dyDescent="0.3">
      <c r="B131" s="66" t="s">
        <v>65</v>
      </c>
      <c r="C131" s="66">
        <f>C121+1</f>
        <v>13</v>
      </c>
      <c r="D131" s="66" t="s">
        <v>38</v>
      </c>
      <c r="E131" s="66" t="s">
        <v>39</v>
      </c>
      <c r="F131" s="66" t="s">
        <v>59</v>
      </c>
      <c r="G131" s="8">
        <f>(2160138945/10000000)*1341</f>
        <v>289674.63252449996</v>
      </c>
      <c r="H131" s="8">
        <v>7416</v>
      </c>
      <c r="I131" s="3">
        <f>H131/118917</f>
        <v>6.236282449103156E-2</v>
      </c>
      <c r="J131" s="6">
        <v>34.700000000000003</v>
      </c>
      <c r="K131" s="3">
        <v>1.69</v>
      </c>
      <c r="L131" s="3">
        <v>0.13</v>
      </c>
      <c r="M131" s="6">
        <v>8.1999999999999993</v>
      </c>
      <c r="N131" s="3">
        <v>6.5</v>
      </c>
      <c r="O131" s="3">
        <v>10</v>
      </c>
      <c r="P131" s="65">
        <f t="shared" si="1"/>
        <v>12.576513615285879</v>
      </c>
    </row>
    <row r="132" spans="2:16" x14ac:dyDescent="0.3">
      <c r="B132" s="66" t="s">
        <v>66</v>
      </c>
      <c r="C132" s="66">
        <f>C122+1</f>
        <v>13</v>
      </c>
      <c r="D132" s="66" t="s">
        <v>38</v>
      </c>
      <c r="E132" s="66" t="s">
        <v>39</v>
      </c>
      <c r="F132" s="66" t="s">
        <v>59</v>
      </c>
      <c r="G132" s="8">
        <f>(2160138945/10000000)*1182</f>
        <v>255328.42329899999</v>
      </c>
      <c r="H132" s="8">
        <v>8048</v>
      </c>
      <c r="I132" s="3">
        <f>H132/135332</f>
        <v>5.946856619277037E-2</v>
      </c>
      <c r="J132" s="6">
        <v>23.3</v>
      </c>
      <c r="K132" s="3">
        <v>1.69</v>
      </c>
      <c r="L132" s="3">
        <v>0.14000000000000001</v>
      </c>
      <c r="M132" s="6">
        <v>6.5</v>
      </c>
      <c r="N132" s="3">
        <v>6.25</v>
      </c>
      <c r="O132" s="3">
        <v>10.52</v>
      </c>
      <c r="P132" s="65">
        <f t="shared" ref="P132:P195" si="2">LN(G132)</f>
        <v>12.450305929970243</v>
      </c>
    </row>
    <row r="133" spans="2:16" x14ac:dyDescent="0.3">
      <c r="B133" s="66" t="s">
        <v>181</v>
      </c>
      <c r="C133" s="66">
        <v>14</v>
      </c>
      <c r="D133" s="66" t="s">
        <v>40</v>
      </c>
      <c r="E133" s="66" t="s">
        <v>41</v>
      </c>
      <c r="F133" s="66" t="s">
        <v>68</v>
      </c>
      <c r="G133" s="8">
        <v>850</v>
      </c>
      <c r="H133" s="8">
        <v>12.5</v>
      </c>
      <c r="I133" s="3">
        <v>2.8500000000000001E-2</v>
      </c>
      <c r="J133" s="6">
        <v>18.5</v>
      </c>
      <c r="K133" s="3">
        <v>0.68</v>
      </c>
      <c r="L133" s="3">
        <v>5.8000000000000003E-2</v>
      </c>
      <c r="M133" s="6">
        <v>8</v>
      </c>
      <c r="N133" s="3">
        <v>6.75</v>
      </c>
      <c r="O133" s="3">
        <v>2.41</v>
      </c>
      <c r="P133" s="65">
        <f t="shared" si="2"/>
        <v>6.7452363494843626</v>
      </c>
    </row>
    <row r="134" spans="2:16" x14ac:dyDescent="0.3">
      <c r="B134" s="66" t="s">
        <v>182</v>
      </c>
      <c r="C134" s="66">
        <v>14</v>
      </c>
      <c r="D134" s="66" t="s">
        <v>40</v>
      </c>
      <c r="E134" s="66" t="s">
        <v>41</v>
      </c>
      <c r="F134" s="66" t="s">
        <v>68</v>
      </c>
      <c r="G134" s="8">
        <v>920</v>
      </c>
      <c r="H134" s="8">
        <v>13.8</v>
      </c>
      <c r="I134" s="3">
        <v>3.0200000000000001E-2</v>
      </c>
      <c r="J134" s="6">
        <v>17.8</v>
      </c>
      <c r="K134" s="3">
        <v>0.65</v>
      </c>
      <c r="L134" s="3">
        <v>6.2E-2</v>
      </c>
      <c r="M134" s="6">
        <v>8.3000000000000007</v>
      </c>
      <c r="N134" s="3">
        <v>6.25</v>
      </c>
      <c r="O134" s="3">
        <v>2.74</v>
      </c>
      <c r="P134" s="65">
        <f t="shared" si="2"/>
        <v>6.8243736700430864</v>
      </c>
    </row>
    <row r="135" spans="2:16" x14ac:dyDescent="0.3">
      <c r="B135" s="66" t="s">
        <v>183</v>
      </c>
      <c r="C135" s="66">
        <v>14</v>
      </c>
      <c r="D135" s="66" t="s">
        <v>40</v>
      </c>
      <c r="E135" s="66" t="s">
        <v>41</v>
      </c>
      <c r="F135" s="66" t="s">
        <v>68</v>
      </c>
      <c r="G135" s="8">
        <v>1050</v>
      </c>
      <c r="H135" s="8">
        <v>14.5</v>
      </c>
      <c r="I135" s="3">
        <v>3.15E-2</v>
      </c>
      <c r="J135" s="6">
        <v>16.5</v>
      </c>
      <c r="K135" s="3">
        <v>0.62</v>
      </c>
      <c r="L135" s="3">
        <v>6.5000000000000002E-2</v>
      </c>
      <c r="M135" s="6">
        <v>6.8</v>
      </c>
      <c r="N135" s="3">
        <v>6</v>
      </c>
      <c r="O135" s="3">
        <v>3.09</v>
      </c>
      <c r="P135" s="65">
        <f t="shared" si="2"/>
        <v>6.956545443151569</v>
      </c>
    </row>
    <row r="136" spans="2:16" x14ac:dyDescent="0.3">
      <c r="B136" s="66" t="s">
        <v>184</v>
      </c>
      <c r="C136" s="66">
        <v>14</v>
      </c>
      <c r="D136" s="66" t="s">
        <v>40</v>
      </c>
      <c r="E136" s="66" t="s">
        <v>41</v>
      </c>
      <c r="F136" s="66" t="s">
        <v>68</v>
      </c>
      <c r="G136" s="8">
        <v>980</v>
      </c>
      <c r="H136" s="8">
        <v>15.2</v>
      </c>
      <c r="I136" s="3">
        <v>3.2800000000000003E-2</v>
      </c>
      <c r="J136" s="6">
        <v>15.8</v>
      </c>
      <c r="K136" s="3">
        <v>0.6</v>
      </c>
      <c r="L136" s="3">
        <v>6.8000000000000005E-2</v>
      </c>
      <c r="M136" s="6">
        <v>6.5</v>
      </c>
      <c r="N136" s="3">
        <v>6.25</v>
      </c>
      <c r="O136" s="3">
        <v>3.36</v>
      </c>
      <c r="P136" s="65">
        <f t="shared" si="2"/>
        <v>6.8875525716646173</v>
      </c>
    </row>
    <row r="137" spans="2:16" x14ac:dyDescent="0.3">
      <c r="B137" s="66" t="s">
        <v>185</v>
      </c>
      <c r="C137" s="66">
        <v>14</v>
      </c>
      <c r="D137" s="66" t="s">
        <v>40</v>
      </c>
      <c r="E137" s="66" t="s">
        <v>41</v>
      </c>
      <c r="F137" s="66" t="s">
        <v>68</v>
      </c>
      <c r="G137" s="8">
        <v>680</v>
      </c>
      <c r="H137" s="8">
        <v>16</v>
      </c>
      <c r="I137" s="3">
        <v>3.3500000000000002E-2</v>
      </c>
      <c r="J137" s="6">
        <v>12.5</v>
      </c>
      <c r="K137" s="3">
        <v>0.62</v>
      </c>
      <c r="L137" s="3">
        <v>5.5E-2</v>
      </c>
      <c r="M137" s="6">
        <v>4</v>
      </c>
      <c r="N137" s="3">
        <v>5.15</v>
      </c>
      <c r="O137" s="3">
        <v>3.36</v>
      </c>
      <c r="P137" s="65">
        <f t="shared" si="2"/>
        <v>6.522092798170152</v>
      </c>
    </row>
    <row r="138" spans="2:16" x14ac:dyDescent="0.3">
      <c r="B138" s="66" t="s">
        <v>186</v>
      </c>
      <c r="C138" s="66">
        <v>14</v>
      </c>
      <c r="D138" s="66" t="s">
        <v>40</v>
      </c>
      <c r="E138" s="66" t="s">
        <v>41</v>
      </c>
      <c r="F138" s="66" t="s">
        <v>68</v>
      </c>
      <c r="G138" s="8">
        <v>820</v>
      </c>
      <c r="H138" s="8">
        <v>17.5</v>
      </c>
      <c r="I138" s="3">
        <v>3.4200000000000001E-2</v>
      </c>
      <c r="J138" s="6">
        <v>14.2</v>
      </c>
      <c r="K138" s="3">
        <v>0.57999999999999996</v>
      </c>
      <c r="L138" s="3">
        <v>5.8000000000000003E-2</v>
      </c>
      <c r="M138" s="61">
        <v>7.3</v>
      </c>
      <c r="N138" s="3">
        <v>4</v>
      </c>
      <c r="O138" s="3">
        <v>4.3899999999999997</v>
      </c>
      <c r="P138" s="65">
        <f t="shared" si="2"/>
        <v>6.7093043402582984</v>
      </c>
    </row>
    <row r="139" spans="2:16" x14ac:dyDescent="0.3">
      <c r="B139" s="66" t="s">
        <v>14</v>
      </c>
      <c r="C139" s="66">
        <f>C129+1</f>
        <v>14</v>
      </c>
      <c r="D139" s="66" t="s">
        <v>40</v>
      </c>
      <c r="E139" s="66" t="s">
        <v>41</v>
      </c>
      <c r="F139" s="66" t="s">
        <v>68</v>
      </c>
      <c r="G139" s="8">
        <f>10.64*100</f>
        <v>1064</v>
      </c>
      <c r="H139" s="8">
        <v>19.57</v>
      </c>
      <c r="I139" s="3">
        <f>H139/(266190/100)</f>
        <v>7.3518915060670946E-3</v>
      </c>
      <c r="J139" s="6">
        <v>43.5</v>
      </c>
      <c r="K139" s="3">
        <v>0.54</v>
      </c>
      <c r="L139" s="3">
        <v>7.0000000000000007E-2</v>
      </c>
      <c r="M139" s="6">
        <v>8.6999999999999993</v>
      </c>
      <c r="N139" s="3">
        <v>4</v>
      </c>
      <c r="O139" s="3">
        <v>5.54</v>
      </c>
      <c r="P139" s="65">
        <f t="shared" si="2"/>
        <v>6.9697906699015899</v>
      </c>
    </row>
    <row r="140" spans="2:16" x14ac:dyDescent="0.3">
      <c r="B140" s="66" t="s">
        <v>64</v>
      </c>
      <c r="C140" s="66">
        <f>C130+1</f>
        <v>14</v>
      </c>
      <c r="D140" s="66" t="s">
        <v>40</v>
      </c>
      <c r="E140" s="66" t="s">
        <v>41</v>
      </c>
      <c r="F140" s="66" t="s">
        <v>68</v>
      </c>
      <c r="G140" s="8">
        <f>13.66*100</f>
        <v>1366</v>
      </c>
      <c r="H140" s="8">
        <v>48.57</v>
      </c>
      <c r="I140" s="3">
        <f>H140/(334049/100)</f>
        <v>1.453978308571497E-2</v>
      </c>
      <c r="J140" s="6">
        <v>163.30000000000001</v>
      </c>
      <c r="K140" s="3">
        <v>0.73</v>
      </c>
      <c r="L140" s="3">
        <v>7.0000000000000007E-2</v>
      </c>
      <c r="M140" s="6">
        <v>7.2</v>
      </c>
      <c r="N140" s="3">
        <v>6.5</v>
      </c>
      <c r="O140" s="3">
        <v>7.5</v>
      </c>
      <c r="P140" s="65">
        <f t="shared" si="2"/>
        <v>7.2196420401307355</v>
      </c>
    </row>
    <row r="141" spans="2:16" x14ac:dyDescent="0.3">
      <c r="B141" s="66" t="s">
        <v>65</v>
      </c>
      <c r="C141" s="66">
        <f>C131+1</f>
        <v>14</v>
      </c>
      <c r="D141" s="66" t="s">
        <v>40</v>
      </c>
      <c r="E141" s="66" t="s">
        <v>41</v>
      </c>
      <c r="F141" s="66" t="s">
        <v>68</v>
      </c>
      <c r="G141" s="8">
        <v>4224</v>
      </c>
      <c r="H141" s="8">
        <v>79.36</v>
      </c>
      <c r="I141" s="3">
        <f>H141/(413998/100)</f>
        <v>1.916917473031271E-2</v>
      </c>
      <c r="J141" s="6">
        <v>70.599999999999994</v>
      </c>
      <c r="K141" s="3">
        <v>0.26</v>
      </c>
      <c r="L141" s="3">
        <v>0.11</v>
      </c>
      <c r="M141" s="6">
        <v>8.1999999999999993</v>
      </c>
      <c r="N141" s="3">
        <v>6.5</v>
      </c>
      <c r="O141" s="3">
        <v>10</v>
      </c>
      <c r="P141" s="65">
        <f t="shared" si="2"/>
        <v>8.3485378253860976</v>
      </c>
    </row>
    <row r="142" spans="2:16" x14ac:dyDescent="0.3">
      <c r="B142" s="66" t="s">
        <v>66</v>
      </c>
      <c r="C142" s="66">
        <f>C132+1</f>
        <v>14</v>
      </c>
      <c r="D142" s="66" t="s">
        <v>40</v>
      </c>
      <c r="E142" s="66" t="s">
        <v>41</v>
      </c>
      <c r="F142" s="66" t="s">
        <v>68</v>
      </c>
      <c r="G142" s="8">
        <v>4135</v>
      </c>
      <c r="H142" s="8">
        <v>96.788300000000007</v>
      </c>
      <c r="I142" s="3">
        <f>H142/(439850/100)</f>
        <v>2.2004842559963624E-2</v>
      </c>
      <c r="J142" s="6">
        <v>29.6</v>
      </c>
      <c r="K142" s="3">
        <v>0.32</v>
      </c>
      <c r="L142" s="3">
        <v>0.11</v>
      </c>
      <c r="M142" s="6">
        <v>6.5</v>
      </c>
      <c r="N142" s="3">
        <v>6.25</v>
      </c>
      <c r="O142" s="3">
        <v>10.52</v>
      </c>
      <c r="P142" s="65">
        <f t="shared" si="2"/>
        <v>8.3272426074577925</v>
      </c>
    </row>
    <row r="143" spans="2:16" x14ac:dyDescent="0.3">
      <c r="B143" s="66" t="s">
        <v>181</v>
      </c>
      <c r="C143" s="66">
        <v>15</v>
      </c>
      <c r="D143" s="66" t="s">
        <v>42</v>
      </c>
      <c r="E143" s="66" t="s">
        <v>43</v>
      </c>
      <c r="F143" s="66" t="s">
        <v>59</v>
      </c>
      <c r="G143" s="8">
        <v>600</v>
      </c>
      <c r="H143" s="8">
        <v>480</v>
      </c>
      <c r="I143" s="3">
        <v>3.85E-2</v>
      </c>
      <c r="J143" s="6">
        <v>12.5</v>
      </c>
      <c r="K143" s="3">
        <v>2.85</v>
      </c>
      <c r="L143" s="3">
        <v>7.4999999999999997E-2</v>
      </c>
      <c r="M143" s="6">
        <v>8</v>
      </c>
      <c r="N143" s="3">
        <v>6.75</v>
      </c>
      <c r="O143" s="3">
        <v>2.41</v>
      </c>
      <c r="P143" s="65">
        <f t="shared" si="2"/>
        <v>6.3969296552161463</v>
      </c>
    </row>
    <row r="144" spans="2:16" x14ac:dyDescent="0.3">
      <c r="B144" s="66" t="s">
        <v>182</v>
      </c>
      <c r="C144" s="66">
        <v>15</v>
      </c>
      <c r="D144" s="66" t="s">
        <v>42</v>
      </c>
      <c r="E144" s="66" t="s">
        <v>43</v>
      </c>
      <c r="F144" s="66" t="s">
        <v>59</v>
      </c>
      <c r="G144" s="8">
        <v>850</v>
      </c>
      <c r="H144" s="8">
        <v>620</v>
      </c>
      <c r="I144" s="3">
        <v>4.2799999999999998E-2</v>
      </c>
      <c r="J144" s="6">
        <v>13.8</v>
      </c>
      <c r="K144" s="3">
        <v>2.72</v>
      </c>
      <c r="L144" s="3">
        <v>0.08</v>
      </c>
      <c r="M144" s="6">
        <v>8.3000000000000007</v>
      </c>
      <c r="N144" s="3">
        <v>6.25</v>
      </c>
      <c r="O144" s="3">
        <v>2.74</v>
      </c>
      <c r="P144" s="65">
        <f t="shared" si="2"/>
        <v>6.7452363494843626</v>
      </c>
    </row>
    <row r="145" spans="2:16" x14ac:dyDescent="0.3">
      <c r="B145" s="66" t="s">
        <v>183</v>
      </c>
      <c r="C145" s="66">
        <v>15</v>
      </c>
      <c r="D145" s="66" t="s">
        <v>42</v>
      </c>
      <c r="E145" s="66" t="s">
        <v>43</v>
      </c>
      <c r="F145" s="66" t="s">
        <v>59</v>
      </c>
      <c r="G145" s="8">
        <v>1200</v>
      </c>
      <c r="H145" s="8">
        <v>780</v>
      </c>
      <c r="I145" s="3">
        <v>4.7199999999999999E-2</v>
      </c>
      <c r="J145" s="6">
        <v>15.2</v>
      </c>
      <c r="K145" s="3">
        <v>2.62</v>
      </c>
      <c r="L145" s="3">
        <v>8.5000000000000006E-2</v>
      </c>
      <c r="M145" s="6">
        <v>6.8</v>
      </c>
      <c r="N145" s="3">
        <v>6</v>
      </c>
      <c r="O145" s="3">
        <v>3.09</v>
      </c>
      <c r="P145" s="65">
        <f t="shared" si="2"/>
        <v>7.0900768357760917</v>
      </c>
    </row>
    <row r="146" spans="2:16" x14ac:dyDescent="0.3">
      <c r="B146" s="66" t="s">
        <v>184</v>
      </c>
      <c r="C146" s="66">
        <v>15</v>
      </c>
      <c r="D146" s="66" t="s">
        <v>42</v>
      </c>
      <c r="E146" s="66" t="s">
        <v>43</v>
      </c>
      <c r="F146" s="66" t="s">
        <v>59</v>
      </c>
      <c r="G146" s="8">
        <v>1650</v>
      </c>
      <c r="H146" s="8">
        <v>980</v>
      </c>
      <c r="I146" s="3">
        <v>5.1499999999999997E-2</v>
      </c>
      <c r="J146" s="6">
        <v>16.5</v>
      </c>
      <c r="K146" s="3">
        <v>2.52</v>
      </c>
      <c r="L146" s="3">
        <v>8.7999999999999995E-2</v>
      </c>
      <c r="M146" s="6">
        <v>6.5</v>
      </c>
      <c r="N146" s="3">
        <v>6.25</v>
      </c>
      <c r="O146" s="3">
        <v>3.36</v>
      </c>
      <c r="P146" s="65">
        <f t="shared" si="2"/>
        <v>7.4085305668946262</v>
      </c>
    </row>
    <row r="147" spans="2:16" x14ac:dyDescent="0.3">
      <c r="B147" s="66" t="s">
        <v>185</v>
      </c>
      <c r="C147" s="66">
        <v>15</v>
      </c>
      <c r="D147" s="66" t="s">
        <v>42</v>
      </c>
      <c r="E147" s="66" t="s">
        <v>43</v>
      </c>
      <c r="F147" s="66" t="s">
        <v>59</v>
      </c>
      <c r="G147" s="8">
        <v>1950</v>
      </c>
      <c r="H147" s="8">
        <v>1180</v>
      </c>
      <c r="I147" s="3">
        <v>5.4800000000000001E-2</v>
      </c>
      <c r="J147" s="6">
        <v>16.2</v>
      </c>
      <c r="K147" s="3">
        <v>2.4500000000000002</v>
      </c>
      <c r="L147" s="3">
        <v>0.09</v>
      </c>
      <c r="M147" s="6">
        <v>4</v>
      </c>
      <c r="N147" s="3">
        <v>5.15</v>
      </c>
      <c r="O147" s="3">
        <v>3.36</v>
      </c>
      <c r="P147" s="65">
        <f t="shared" si="2"/>
        <v>7.5755846515577927</v>
      </c>
    </row>
    <row r="148" spans="2:16" x14ac:dyDescent="0.3">
      <c r="B148" s="66" t="s">
        <v>186</v>
      </c>
      <c r="C148" s="66">
        <v>15</v>
      </c>
      <c r="D148" s="66" t="s">
        <v>42</v>
      </c>
      <c r="E148" s="66" t="s">
        <v>43</v>
      </c>
      <c r="F148" s="66" t="s">
        <v>59</v>
      </c>
      <c r="G148" s="8">
        <v>2600</v>
      </c>
      <c r="H148" s="8">
        <v>1350</v>
      </c>
      <c r="I148" s="3">
        <v>5.7799999999999997E-2</v>
      </c>
      <c r="J148" s="6">
        <v>18.5</v>
      </c>
      <c r="K148" s="3">
        <v>2.35</v>
      </c>
      <c r="L148" s="3">
        <v>9.5000000000000001E-2</v>
      </c>
      <c r="M148" s="61">
        <v>7.3</v>
      </c>
      <c r="N148" s="3">
        <v>4</v>
      </c>
      <c r="O148" s="3">
        <v>4.3899999999999997</v>
      </c>
      <c r="P148" s="65">
        <f t="shared" si="2"/>
        <v>7.8632667240095735</v>
      </c>
    </row>
    <row r="149" spans="2:16" x14ac:dyDescent="0.3">
      <c r="B149" s="66" t="s">
        <v>14</v>
      </c>
      <c r="C149" s="66">
        <f>C139+1</f>
        <v>15</v>
      </c>
      <c r="D149" s="66" t="s">
        <v>42</v>
      </c>
      <c r="E149" s="66" t="s">
        <v>43</v>
      </c>
      <c r="F149" s="66" t="s">
        <v>59</v>
      </c>
      <c r="G149" s="8">
        <v>3462</v>
      </c>
      <c r="H149" s="8">
        <v>1549</v>
      </c>
      <c r="I149" s="3">
        <f>H149/(464559/100)</f>
        <v>0.33343450455162854</v>
      </c>
      <c r="J149" s="6">
        <v>28.8</v>
      </c>
      <c r="K149" s="3">
        <v>2.27</v>
      </c>
      <c r="L149" s="3">
        <v>0.11</v>
      </c>
      <c r="M149" s="6">
        <v>8.6999999999999993</v>
      </c>
      <c r="N149" s="3">
        <v>4</v>
      </c>
      <c r="O149" s="3">
        <v>5.54</v>
      </c>
      <c r="P149" s="65">
        <f t="shared" si="2"/>
        <v>8.1496017357361552</v>
      </c>
    </row>
    <row r="150" spans="2:16" x14ac:dyDescent="0.3">
      <c r="B150" s="66" t="s">
        <v>64</v>
      </c>
      <c r="C150" s="66">
        <f>C140+1</f>
        <v>15</v>
      </c>
      <c r="D150" s="66" t="s">
        <v>42</v>
      </c>
      <c r="E150" s="66" t="s">
        <v>43</v>
      </c>
      <c r="F150" s="66" t="s">
        <v>59</v>
      </c>
      <c r="G150" s="8">
        <v>4089</v>
      </c>
      <c r="H150" s="8">
        <v>2738</v>
      </c>
      <c r="I150" s="3">
        <f>H150/(568962/100)</f>
        <v>0.48122721728340384</v>
      </c>
      <c r="J150" s="6">
        <v>33</v>
      </c>
      <c r="K150" s="3">
        <v>2.0299999999999998</v>
      </c>
      <c r="L150" s="3">
        <v>0.17</v>
      </c>
      <c r="M150" s="6">
        <v>7.2</v>
      </c>
      <c r="N150" s="3">
        <v>6.5</v>
      </c>
      <c r="O150" s="3">
        <v>7.5</v>
      </c>
      <c r="P150" s="65">
        <f t="shared" si="2"/>
        <v>8.316055720364643</v>
      </c>
    </row>
    <row r="151" spans="2:16" x14ac:dyDescent="0.3">
      <c r="B151" s="66" t="s">
        <v>65</v>
      </c>
      <c r="C151" s="66">
        <f>C141+1</f>
        <v>15</v>
      </c>
      <c r="D151" s="66" t="s">
        <v>42</v>
      </c>
      <c r="E151" s="66" t="s">
        <v>43</v>
      </c>
      <c r="F151" s="66" t="s">
        <v>59</v>
      </c>
      <c r="G151" s="8">
        <v>51523</v>
      </c>
      <c r="H151" s="8">
        <f>248+1822</f>
        <v>2070</v>
      </c>
      <c r="I151" s="3">
        <f>H151/11003</f>
        <v>0.18813050986094701</v>
      </c>
      <c r="J151" s="6">
        <v>42.7</v>
      </c>
      <c r="K151" s="3">
        <v>0.69</v>
      </c>
      <c r="L151" s="3">
        <v>0.16</v>
      </c>
      <c r="M151" s="6">
        <v>8.1999999999999993</v>
      </c>
      <c r="N151" s="3">
        <v>6.5</v>
      </c>
      <c r="O151" s="3">
        <v>10</v>
      </c>
      <c r="P151" s="65">
        <f t="shared" si="2"/>
        <v>10.84978358889661</v>
      </c>
    </row>
    <row r="152" spans="2:16" x14ac:dyDescent="0.3">
      <c r="B152" s="66" t="s">
        <v>66</v>
      </c>
      <c r="C152" s="66">
        <f>C142+1</f>
        <v>15</v>
      </c>
      <c r="D152" s="66" t="s">
        <v>42</v>
      </c>
      <c r="E152" s="66" t="s">
        <v>43</v>
      </c>
      <c r="F152" s="66" t="s">
        <v>59</v>
      </c>
      <c r="G152" s="8">
        <v>67158</v>
      </c>
      <c r="H152" s="8">
        <v>2075</v>
      </c>
      <c r="I152" s="3">
        <f>H152/10488</f>
        <v>0.19784515636918382</v>
      </c>
      <c r="J152" s="6">
        <v>50.3</v>
      </c>
      <c r="K152" s="3">
        <v>0.66</v>
      </c>
      <c r="L152" s="3">
        <v>0.14000000000000001</v>
      </c>
      <c r="M152" s="6">
        <v>6.5</v>
      </c>
      <c r="N152" s="3">
        <v>6.25</v>
      </c>
      <c r="O152" s="3">
        <v>10.52</v>
      </c>
      <c r="P152" s="65">
        <f t="shared" si="2"/>
        <v>11.114803331117322</v>
      </c>
    </row>
    <row r="153" spans="2:16" x14ac:dyDescent="0.3">
      <c r="B153" s="66" t="s">
        <v>181</v>
      </c>
      <c r="C153" s="66">
        <v>16</v>
      </c>
      <c r="D153" s="66" t="s">
        <v>44</v>
      </c>
      <c r="E153" s="66" t="s">
        <v>16</v>
      </c>
      <c r="F153" s="66" t="s">
        <v>68</v>
      </c>
      <c r="G153" s="8">
        <v>3200</v>
      </c>
      <c r="H153" s="8">
        <v>320</v>
      </c>
      <c r="I153" s="3">
        <v>2.4199999999999999E-2</v>
      </c>
      <c r="J153" s="6">
        <v>8.1999999999999993</v>
      </c>
      <c r="K153" s="3">
        <v>0.62</v>
      </c>
      <c r="L153" s="3">
        <v>0.14199999999999999</v>
      </c>
      <c r="M153" s="6">
        <v>8</v>
      </c>
      <c r="N153" s="3">
        <v>6.75</v>
      </c>
      <c r="O153" s="3">
        <v>2.41</v>
      </c>
      <c r="P153" s="65">
        <f t="shared" si="2"/>
        <v>8.0709060887878188</v>
      </c>
    </row>
    <row r="154" spans="2:16" x14ac:dyDescent="0.3">
      <c r="B154" s="66" t="s">
        <v>182</v>
      </c>
      <c r="C154" s="66">
        <v>16</v>
      </c>
      <c r="D154" s="66" t="s">
        <v>44</v>
      </c>
      <c r="E154" s="66" t="s">
        <v>16</v>
      </c>
      <c r="F154" s="66" t="s">
        <v>68</v>
      </c>
      <c r="G154" s="8">
        <v>3800</v>
      </c>
      <c r="H154" s="8">
        <v>368</v>
      </c>
      <c r="I154" s="3">
        <v>2.6800000000000001E-2</v>
      </c>
      <c r="J154" s="6">
        <v>9</v>
      </c>
      <c r="K154" s="3">
        <v>0.57999999999999996</v>
      </c>
      <c r="L154" s="3">
        <v>0.14799999999999999</v>
      </c>
      <c r="M154" s="6">
        <v>8.3000000000000007</v>
      </c>
      <c r="N154" s="3">
        <v>6.25</v>
      </c>
      <c r="O154" s="3">
        <v>2.74</v>
      </c>
      <c r="P154" s="65">
        <f t="shared" si="2"/>
        <v>8.2427563457144775</v>
      </c>
    </row>
    <row r="155" spans="2:16" x14ac:dyDescent="0.3">
      <c r="B155" s="66" t="s">
        <v>183</v>
      </c>
      <c r="C155" s="66">
        <v>16</v>
      </c>
      <c r="D155" s="66" t="s">
        <v>44</v>
      </c>
      <c r="E155" s="66" t="s">
        <v>16</v>
      </c>
      <c r="F155" s="66" t="s">
        <v>68</v>
      </c>
      <c r="G155" s="8">
        <v>4500</v>
      </c>
      <c r="H155" s="8">
        <v>422</v>
      </c>
      <c r="I155" s="3">
        <v>2.9499999999999998E-2</v>
      </c>
      <c r="J155" s="6">
        <v>9.8000000000000007</v>
      </c>
      <c r="K155" s="3">
        <v>0.55000000000000004</v>
      </c>
      <c r="L155" s="3">
        <v>0.155</v>
      </c>
      <c r="M155" s="6">
        <v>6.8</v>
      </c>
      <c r="N155" s="3">
        <v>6</v>
      </c>
      <c r="O155" s="3">
        <v>3.09</v>
      </c>
      <c r="P155" s="65">
        <f t="shared" si="2"/>
        <v>8.4118326757584114</v>
      </c>
    </row>
    <row r="156" spans="2:16" x14ac:dyDescent="0.3">
      <c r="B156" s="66" t="s">
        <v>184</v>
      </c>
      <c r="C156" s="66">
        <v>16</v>
      </c>
      <c r="D156" s="66" t="s">
        <v>44</v>
      </c>
      <c r="E156" s="66" t="s">
        <v>16</v>
      </c>
      <c r="F156" s="66" t="s">
        <v>68</v>
      </c>
      <c r="G156" s="8">
        <v>5200</v>
      </c>
      <c r="H156" s="8">
        <v>480</v>
      </c>
      <c r="I156" s="3">
        <v>3.2199999999999999E-2</v>
      </c>
      <c r="J156" s="6">
        <v>10.5</v>
      </c>
      <c r="K156" s="3">
        <v>0.52</v>
      </c>
      <c r="L156" s="3">
        <v>0.16200000000000001</v>
      </c>
      <c r="M156" s="6">
        <v>6.5</v>
      </c>
      <c r="N156" s="3">
        <v>6.25</v>
      </c>
      <c r="O156" s="3">
        <v>3.36</v>
      </c>
      <c r="P156" s="65">
        <f t="shared" si="2"/>
        <v>8.5564139045695189</v>
      </c>
    </row>
    <row r="157" spans="2:16" x14ac:dyDescent="0.3">
      <c r="B157" s="66" t="s">
        <v>185</v>
      </c>
      <c r="C157" s="66">
        <v>16</v>
      </c>
      <c r="D157" s="66" t="s">
        <v>44</v>
      </c>
      <c r="E157" s="66" t="s">
        <v>16</v>
      </c>
      <c r="F157" s="66" t="s">
        <v>68</v>
      </c>
      <c r="G157" s="8">
        <v>4800</v>
      </c>
      <c r="H157" s="8">
        <v>520</v>
      </c>
      <c r="I157" s="3">
        <v>3.4200000000000001E-2</v>
      </c>
      <c r="J157" s="6">
        <v>9.8000000000000007</v>
      </c>
      <c r="K157" s="3">
        <v>0.5</v>
      </c>
      <c r="L157" s="3">
        <v>0.158</v>
      </c>
      <c r="M157" s="6">
        <v>4</v>
      </c>
      <c r="N157" s="3">
        <v>5.15</v>
      </c>
      <c r="O157" s="3">
        <v>3.36</v>
      </c>
      <c r="P157" s="65">
        <f t="shared" si="2"/>
        <v>8.4763711968959825</v>
      </c>
    </row>
    <row r="158" spans="2:16" x14ac:dyDescent="0.3">
      <c r="B158" s="66" t="s">
        <v>186</v>
      </c>
      <c r="C158" s="66">
        <v>16</v>
      </c>
      <c r="D158" s="66" t="s">
        <v>44</v>
      </c>
      <c r="E158" s="66" t="s">
        <v>16</v>
      </c>
      <c r="F158" s="66" t="s">
        <v>68</v>
      </c>
      <c r="G158" s="8">
        <v>7500</v>
      </c>
      <c r="H158" s="8">
        <v>550</v>
      </c>
      <c r="I158" s="3">
        <v>3.5799999999999998E-2</v>
      </c>
      <c r="J158" s="6">
        <v>11.5</v>
      </c>
      <c r="K158" s="3">
        <v>0.48</v>
      </c>
      <c r="L158" s="3">
        <v>0.16200000000000001</v>
      </c>
      <c r="M158" s="61">
        <v>7.3</v>
      </c>
      <c r="N158" s="3">
        <v>4</v>
      </c>
      <c r="O158" s="3">
        <v>4.3899999999999997</v>
      </c>
      <c r="P158" s="65">
        <f t="shared" si="2"/>
        <v>8.9226582995244019</v>
      </c>
    </row>
    <row r="159" spans="2:16" x14ac:dyDescent="0.3">
      <c r="B159" s="66" t="s">
        <v>14</v>
      </c>
      <c r="C159" s="66">
        <f>C149+1</f>
        <v>16</v>
      </c>
      <c r="D159" s="66" t="s">
        <v>44</v>
      </c>
      <c r="E159" s="66" t="s">
        <v>16</v>
      </c>
      <c r="F159" s="66" t="s">
        <v>68</v>
      </c>
      <c r="G159" s="8">
        <v>30344</v>
      </c>
      <c r="H159" s="8">
        <v>584</v>
      </c>
      <c r="I159" s="3">
        <v>3.5799999999999998E-2</v>
      </c>
      <c r="J159" s="6">
        <v>5.9</v>
      </c>
      <c r="K159" s="3">
        <v>1.17</v>
      </c>
      <c r="L159" s="3">
        <v>0.16</v>
      </c>
      <c r="M159" s="6">
        <v>8.6999999999999993</v>
      </c>
      <c r="N159" s="3">
        <v>4</v>
      </c>
      <c r="O159" s="3">
        <v>5.54</v>
      </c>
      <c r="P159" s="65">
        <f t="shared" si="2"/>
        <v>10.320354083368734</v>
      </c>
    </row>
    <row r="160" spans="2:16" x14ac:dyDescent="0.3">
      <c r="B160" s="66" t="s">
        <v>64</v>
      </c>
      <c r="C160" s="66">
        <f>C150+1</f>
        <v>16</v>
      </c>
      <c r="D160" s="66" t="s">
        <v>44</v>
      </c>
      <c r="E160" s="66" t="s">
        <v>16</v>
      </c>
      <c r="F160" s="66" t="s">
        <v>68</v>
      </c>
      <c r="G160" s="8">
        <v>44615</v>
      </c>
      <c r="H160" s="8">
        <v>721</v>
      </c>
      <c r="I160" s="3">
        <v>4.1099999999999998E-2</v>
      </c>
      <c r="J160" s="6">
        <v>9.9</v>
      </c>
      <c r="K160" s="3">
        <v>0.99</v>
      </c>
      <c r="L160" s="3">
        <v>0.17</v>
      </c>
      <c r="M160" s="6">
        <v>7.2</v>
      </c>
      <c r="N160" s="3">
        <v>6.5</v>
      </c>
      <c r="O160" s="3">
        <v>7.5</v>
      </c>
      <c r="P160" s="65">
        <f t="shared" si="2"/>
        <v>10.705825404334252</v>
      </c>
    </row>
    <row r="161" spans="2:16" x14ac:dyDescent="0.3">
      <c r="B161" s="66" t="s">
        <v>65</v>
      </c>
      <c r="C161" s="66">
        <f>C151+1</f>
        <v>16</v>
      </c>
      <c r="D161" s="66" t="s">
        <v>44</v>
      </c>
      <c r="E161" s="66" t="s">
        <v>16</v>
      </c>
      <c r="F161" s="66" t="s">
        <v>68</v>
      </c>
      <c r="G161" s="8">
        <v>70883</v>
      </c>
      <c r="H161" s="8">
        <v>701</v>
      </c>
      <c r="I161" s="3">
        <v>4.7600000000000003E-2</v>
      </c>
      <c r="J161" s="6">
        <v>36.200000000000003</v>
      </c>
      <c r="K161" s="3">
        <v>0.76</v>
      </c>
      <c r="L161" s="3">
        <v>0.18</v>
      </c>
      <c r="M161" s="6">
        <v>8.1999999999999993</v>
      </c>
      <c r="N161" s="3">
        <v>6.5</v>
      </c>
      <c r="O161" s="3">
        <v>10</v>
      </c>
      <c r="P161" s="65">
        <f t="shared" si="2"/>
        <v>11.168785909439716</v>
      </c>
    </row>
    <row r="162" spans="2:16" x14ac:dyDescent="0.3">
      <c r="B162" s="66" t="s">
        <v>66</v>
      </c>
      <c r="C162" s="66">
        <f>C152+1</f>
        <v>16</v>
      </c>
      <c r="D162" s="66" t="s">
        <v>44</v>
      </c>
      <c r="E162" s="66" t="s">
        <v>16</v>
      </c>
      <c r="F162" s="66" t="s">
        <v>68</v>
      </c>
      <c r="G162" s="8">
        <v>60983</v>
      </c>
      <c r="H162" s="8">
        <v>750</v>
      </c>
      <c r="I162" s="3">
        <v>4.9099999999999998E-2</v>
      </c>
      <c r="J162" s="6">
        <v>56.4</v>
      </c>
      <c r="K162" s="3">
        <v>0.62</v>
      </c>
      <c r="L162" s="3">
        <v>0.15</v>
      </c>
      <c r="M162" s="6">
        <v>6.5</v>
      </c>
      <c r="N162" s="3">
        <v>6.25</v>
      </c>
      <c r="O162" s="3">
        <v>10.52</v>
      </c>
      <c r="P162" s="65">
        <f t="shared" si="2"/>
        <v>11.018350415789994</v>
      </c>
    </row>
    <row r="163" spans="2:16" x14ac:dyDescent="0.3">
      <c r="B163" s="66" t="s">
        <v>181</v>
      </c>
      <c r="C163" s="66">
        <v>17</v>
      </c>
      <c r="D163" s="66" t="s">
        <v>46</v>
      </c>
      <c r="E163" s="66" t="s">
        <v>47</v>
      </c>
      <c r="F163" s="66" t="s">
        <v>45</v>
      </c>
      <c r="G163" s="8">
        <v>6500</v>
      </c>
      <c r="H163" s="8">
        <v>3200</v>
      </c>
      <c r="I163" s="3">
        <v>3.2199999999999999E-2</v>
      </c>
      <c r="J163" s="6">
        <v>22.5</v>
      </c>
      <c r="K163" s="3">
        <v>0.78</v>
      </c>
      <c r="L163" s="3">
        <v>5.8000000000000003E-2</v>
      </c>
      <c r="M163" s="6">
        <v>8</v>
      </c>
      <c r="N163" s="3">
        <v>6.75</v>
      </c>
      <c r="O163" s="3">
        <v>2.41</v>
      </c>
      <c r="P163" s="65">
        <f t="shared" si="2"/>
        <v>8.7795574558837277</v>
      </c>
    </row>
    <row r="164" spans="2:16" x14ac:dyDescent="0.3">
      <c r="B164" s="66" t="s">
        <v>182</v>
      </c>
      <c r="C164" s="66">
        <v>17</v>
      </c>
      <c r="D164" s="66" t="s">
        <v>46</v>
      </c>
      <c r="E164" s="66" t="s">
        <v>47</v>
      </c>
      <c r="F164" s="66" t="s">
        <v>45</v>
      </c>
      <c r="G164" s="8">
        <v>8200</v>
      </c>
      <c r="H164" s="8">
        <v>3800</v>
      </c>
      <c r="I164" s="3">
        <v>3.6200000000000003E-2</v>
      </c>
      <c r="J164" s="6">
        <v>24.5</v>
      </c>
      <c r="K164" s="3">
        <v>0.75</v>
      </c>
      <c r="L164" s="3">
        <v>6.2E-2</v>
      </c>
      <c r="M164" s="6">
        <v>8.3000000000000007</v>
      </c>
      <c r="N164" s="3">
        <v>6.25</v>
      </c>
      <c r="O164" s="3">
        <v>2.74</v>
      </c>
      <c r="P164" s="65">
        <f t="shared" si="2"/>
        <v>9.0118894332523443</v>
      </c>
    </row>
    <row r="165" spans="2:16" x14ac:dyDescent="0.3">
      <c r="B165" s="66" t="s">
        <v>183</v>
      </c>
      <c r="C165" s="66">
        <v>17</v>
      </c>
      <c r="D165" s="66" t="s">
        <v>46</v>
      </c>
      <c r="E165" s="66" t="s">
        <v>47</v>
      </c>
      <c r="F165" s="66" t="s">
        <v>45</v>
      </c>
      <c r="G165" s="8">
        <v>10500</v>
      </c>
      <c r="H165" s="8">
        <v>4500</v>
      </c>
      <c r="I165" s="3">
        <v>4.02E-2</v>
      </c>
      <c r="J165" s="6">
        <v>28.5</v>
      </c>
      <c r="K165" s="3">
        <v>0.72</v>
      </c>
      <c r="L165" s="3">
        <v>6.5000000000000002E-2</v>
      </c>
      <c r="M165" s="6">
        <v>6.8</v>
      </c>
      <c r="N165" s="3">
        <v>6</v>
      </c>
      <c r="O165" s="3">
        <v>3.09</v>
      </c>
      <c r="P165" s="65">
        <f t="shared" si="2"/>
        <v>9.259130536145614</v>
      </c>
    </row>
    <row r="166" spans="2:16" x14ac:dyDescent="0.3">
      <c r="B166" s="66" t="s">
        <v>184</v>
      </c>
      <c r="C166" s="66">
        <v>17</v>
      </c>
      <c r="D166" s="66" t="s">
        <v>46</v>
      </c>
      <c r="E166" s="66" t="s">
        <v>47</v>
      </c>
      <c r="F166" s="66" t="s">
        <v>45</v>
      </c>
      <c r="G166" s="8">
        <v>18000</v>
      </c>
      <c r="H166" s="8">
        <v>5500</v>
      </c>
      <c r="I166" s="3">
        <v>4.48E-2</v>
      </c>
      <c r="J166" s="6">
        <v>35.5</v>
      </c>
      <c r="K166" s="3">
        <v>0.7</v>
      </c>
      <c r="L166" s="3">
        <v>6.8000000000000005E-2</v>
      </c>
      <c r="M166" s="6">
        <v>6.5</v>
      </c>
      <c r="N166" s="3">
        <v>6.25</v>
      </c>
      <c r="O166" s="3">
        <v>3.36</v>
      </c>
      <c r="P166" s="65">
        <f t="shared" si="2"/>
        <v>9.7981270368783022</v>
      </c>
    </row>
    <row r="167" spans="2:16" x14ac:dyDescent="0.3">
      <c r="B167" s="66" t="s">
        <v>185</v>
      </c>
      <c r="C167" s="66">
        <v>17</v>
      </c>
      <c r="D167" s="66" t="s">
        <v>46</v>
      </c>
      <c r="E167" s="66" t="s">
        <v>47</v>
      </c>
      <c r="F167" s="66" t="s">
        <v>45</v>
      </c>
      <c r="G167" s="8">
        <v>12000</v>
      </c>
      <c r="H167" s="8">
        <v>6800</v>
      </c>
      <c r="I167" s="3">
        <v>4.8800000000000003E-2</v>
      </c>
      <c r="J167" s="6">
        <v>28.5</v>
      </c>
      <c r="K167" s="3">
        <v>0.68</v>
      </c>
      <c r="L167" s="3">
        <v>5.5E-2</v>
      </c>
      <c r="M167" s="6">
        <v>4</v>
      </c>
      <c r="N167" s="3">
        <v>5.15</v>
      </c>
      <c r="O167" s="3">
        <v>3.36</v>
      </c>
      <c r="P167" s="65">
        <f t="shared" si="2"/>
        <v>9.3926619287701367</v>
      </c>
    </row>
    <row r="168" spans="2:16" x14ac:dyDescent="0.3">
      <c r="B168" s="66" t="s">
        <v>186</v>
      </c>
      <c r="C168" s="66">
        <v>17</v>
      </c>
      <c r="D168" s="66" t="s">
        <v>46</v>
      </c>
      <c r="E168" s="66" t="s">
        <v>47</v>
      </c>
      <c r="F168" s="66" t="s">
        <v>45</v>
      </c>
      <c r="G168" s="8">
        <v>25000</v>
      </c>
      <c r="H168" s="8">
        <v>8000</v>
      </c>
      <c r="I168" s="3">
        <v>4.82E-2</v>
      </c>
      <c r="J168" s="6">
        <v>42.5</v>
      </c>
      <c r="K168" s="3">
        <v>0.65</v>
      </c>
      <c r="L168" s="3">
        <v>5.8000000000000003E-2</v>
      </c>
      <c r="M168" s="61">
        <v>7.3</v>
      </c>
      <c r="N168" s="3">
        <v>4</v>
      </c>
      <c r="O168" s="3">
        <v>4.3899999999999997</v>
      </c>
      <c r="P168" s="65">
        <f t="shared" si="2"/>
        <v>10.126631103850338</v>
      </c>
    </row>
    <row r="169" spans="2:16" x14ac:dyDescent="0.3">
      <c r="B169" s="66" t="s">
        <v>14</v>
      </c>
      <c r="C169" s="66">
        <f>C159+1</f>
        <v>17</v>
      </c>
      <c r="D169" s="66" t="s">
        <v>46</v>
      </c>
      <c r="E169" s="66" t="s">
        <v>47</v>
      </c>
      <c r="F169" s="66" t="s">
        <v>45</v>
      </c>
      <c r="G169" s="8">
        <v>137194</v>
      </c>
      <c r="H169" s="8">
        <v>9469</v>
      </c>
      <c r="I169" s="3">
        <v>5.0200000000000002E-2</v>
      </c>
      <c r="J169" s="6">
        <v>53.5</v>
      </c>
      <c r="K169" s="3">
        <v>0.64</v>
      </c>
      <c r="L169" s="3">
        <v>7.0000000000000007E-2</v>
      </c>
      <c r="M169" s="6">
        <v>8.6999999999999993</v>
      </c>
      <c r="N169" s="3">
        <v>4</v>
      </c>
      <c r="O169" s="3">
        <v>5.54</v>
      </c>
      <c r="P169" s="65">
        <f t="shared" si="2"/>
        <v>11.829151261539234</v>
      </c>
    </row>
    <row r="170" spans="2:16" x14ac:dyDescent="0.3">
      <c r="B170" s="66" t="s">
        <v>64</v>
      </c>
      <c r="C170" s="66">
        <f>C160+1</f>
        <v>17</v>
      </c>
      <c r="D170" s="66" t="s">
        <v>46</v>
      </c>
      <c r="E170" s="66" t="s">
        <v>47</v>
      </c>
      <c r="F170" s="66" t="s">
        <v>45</v>
      </c>
      <c r="G170" s="8">
        <v>206465</v>
      </c>
      <c r="H170" s="8">
        <v>10408</v>
      </c>
      <c r="I170" s="3">
        <v>5.6500000000000002E-2</v>
      </c>
      <c r="J170" s="6">
        <v>66.099999999999994</v>
      </c>
      <c r="K170" s="3">
        <v>0.67</v>
      </c>
      <c r="L170" s="3">
        <v>0.09</v>
      </c>
      <c r="M170" s="6">
        <v>7.2</v>
      </c>
      <c r="N170" s="3">
        <v>6.5</v>
      </c>
      <c r="O170" s="3">
        <v>7.5</v>
      </c>
      <c r="P170" s="65">
        <f t="shared" si="2"/>
        <v>12.237886185492489</v>
      </c>
    </row>
    <row r="171" spans="2:16" x14ac:dyDescent="0.3">
      <c r="B171" s="66" t="s">
        <v>65</v>
      </c>
      <c r="C171" s="66">
        <f>C161+1</f>
        <v>17</v>
      </c>
      <c r="D171" s="66" t="s">
        <v>46</v>
      </c>
      <c r="E171" s="66" t="s">
        <v>47</v>
      </c>
      <c r="F171" s="66" t="s">
        <v>45</v>
      </c>
      <c r="G171" s="8">
        <v>335198</v>
      </c>
      <c r="H171" s="8">
        <v>13003</v>
      </c>
      <c r="I171" s="3">
        <v>6.3399999999999998E-2</v>
      </c>
      <c r="J171" s="6">
        <v>89</v>
      </c>
      <c r="K171" s="3">
        <v>0.65</v>
      </c>
      <c r="L171" s="3">
        <v>0.1</v>
      </c>
      <c r="M171" s="6">
        <v>8.1999999999999993</v>
      </c>
      <c r="N171" s="3">
        <v>6.5</v>
      </c>
      <c r="O171" s="3">
        <v>10</v>
      </c>
      <c r="P171" s="65">
        <f t="shared" si="2"/>
        <v>12.722476680985153</v>
      </c>
    </row>
    <row r="172" spans="2:16" x14ac:dyDescent="0.3">
      <c r="B172" s="66" t="s">
        <v>66</v>
      </c>
      <c r="C172" s="66">
        <f>C162+1</f>
        <v>17</v>
      </c>
      <c r="D172" s="66" t="s">
        <v>46</v>
      </c>
      <c r="E172" s="66" t="s">
        <v>47</v>
      </c>
      <c r="F172" s="66" t="s">
        <v>45</v>
      </c>
      <c r="G172" s="8">
        <v>295000</v>
      </c>
      <c r="H172" s="8">
        <v>14500</v>
      </c>
      <c r="I172" s="3">
        <v>6.6100000000000006E-2</v>
      </c>
      <c r="J172" s="6">
        <v>82.1</v>
      </c>
      <c r="K172" s="3">
        <v>0.63</v>
      </c>
      <c r="L172" s="3">
        <v>0.09</v>
      </c>
      <c r="M172" s="6">
        <v>6.5</v>
      </c>
      <c r="N172" s="3">
        <v>6.25</v>
      </c>
      <c r="O172" s="3">
        <v>10.52</v>
      </c>
      <c r="P172" s="65">
        <f t="shared" si="2"/>
        <v>12.594730635321957</v>
      </c>
    </row>
    <row r="173" spans="2:16" x14ac:dyDescent="0.3">
      <c r="B173" s="66" t="s">
        <v>181</v>
      </c>
      <c r="C173" s="66">
        <v>18</v>
      </c>
      <c r="D173" s="66" t="s">
        <v>48</v>
      </c>
      <c r="E173" s="66" t="s">
        <v>49</v>
      </c>
      <c r="F173" s="66" t="s">
        <v>74</v>
      </c>
      <c r="G173" s="8">
        <v>1250</v>
      </c>
      <c r="H173" s="8">
        <v>185</v>
      </c>
      <c r="I173" s="3">
        <v>2.18E-2</v>
      </c>
      <c r="J173" s="6">
        <v>12.5</v>
      </c>
      <c r="K173" s="3">
        <v>0.22</v>
      </c>
      <c r="L173" s="3">
        <v>0.13200000000000001</v>
      </c>
      <c r="M173" s="6">
        <v>8</v>
      </c>
      <c r="N173" s="3">
        <v>6.75</v>
      </c>
      <c r="O173" s="3">
        <v>2.41</v>
      </c>
      <c r="P173" s="65">
        <f t="shared" si="2"/>
        <v>7.1308988302963465</v>
      </c>
    </row>
    <row r="174" spans="2:16" x14ac:dyDescent="0.3">
      <c r="B174" s="66" t="s">
        <v>182</v>
      </c>
      <c r="C174" s="66">
        <v>18</v>
      </c>
      <c r="D174" s="66" t="s">
        <v>48</v>
      </c>
      <c r="E174" s="66" t="s">
        <v>49</v>
      </c>
      <c r="F174" s="66" t="s">
        <v>74</v>
      </c>
      <c r="G174" s="8">
        <v>1680</v>
      </c>
      <c r="H174" s="8">
        <v>215</v>
      </c>
      <c r="I174" s="3">
        <v>2.4199999999999999E-2</v>
      </c>
      <c r="J174" s="6">
        <v>13.8</v>
      </c>
      <c r="K174" s="3">
        <v>0.2</v>
      </c>
      <c r="L174" s="3">
        <v>0.13800000000000001</v>
      </c>
      <c r="M174" s="6">
        <v>8.3000000000000007</v>
      </c>
      <c r="N174" s="3">
        <v>6.25</v>
      </c>
      <c r="O174" s="3">
        <v>2.74</v>
      </c>
      <c r="P174" s="65">
        <f t="shared" si="2"/>
        <v>7.4265490723973047</v>
      </c>
    </row>
    <row r="175" spans="2:16" x14ac:dyDescent="0.3">
      <c r="B175" s="66" t="s">
        <v>183</v>
      </c>
      <c r="C175" s="66">
        <v>18</v>
      </c>
      <c r="D175" s="66" t="s">
        <v>48</v>
      </c>
      <c r="E175" s="66" t="s">
        <v>49</v>
      </c>
      <c r="F175" s="66" t="s">
        <v>74</v>
      </c>
      <c r="G175" s="8">
        <v>2800</v>
      </c>
      <c r="H175" s="8">
        <v>248</v>
      </c>
      <c r="I175" s="3">
        <v>2.6800000000000001E-2</v>
      </c>
      <c r="J175" s="6">
        <v>15.5</v>
      </c>
      <c r="K175" s="3">
        <v>0.18</v>
      </c>
      <c r="L175" s="3">
        <v>0.14499999999999999</v>
      </c>
      <c r="M175" s="6">
        <v>6.8</v>
      </c>
      <c r="N175" s="3">
        <v>6</v>
      </c>
      <c r="O175" s="3">
        <v>3.09</v>
      </c>
      <c r="P175" s="65">
        <f t="shared" si="2"/>
        <v>7.9373746961632952</v>
      </c>
    </row>
    <row r="176" spans="2:16" x14ac:dyDescent="0.3">
      <c r="B176" s="66" t="s">
        <v>184</v>
      </c>
      <c r="C176" s="66">
        <v>18</v>
      </c>
      <c r="D176" s="66" t="s">
        <v>48</v>
      </c>
      <c r="E176" s="66" t="s">
        <v>49</v>
      </c>
      <c r="F176" s="66" t="s">
        <v>74</v>
      </c>
      <c r="G176" s="8">
        <v>3800</v>
      </c>
      <c r="H176" s="8">
        <v>285</v>
      </c>
      <c r="I176" s="3">
        <v>2.9499999999999998E-2</v>
      </c>
      <c r="J176" s="6">
        <v>16.8</v>
      </c>
      <c r="K176" s="3">
        <v>0.16</v>
      </c>
      <c r="L176" s="3">
        <v>0.152</v>
      </c>
      <c r="M176" s="6">
        <v>6.5</v>
      </c>
      <c r="N176" s="3">
        <v>6.25</v>
      </c>
      <c r="O176" s="3">
        <v>3.36</v>
      </c>
      <c r="P176" s="65">
        <f t="shared" si="2"/>
        <v>8.2427563457144775</v>
      </c>
    </row>
    <row r="177" spans="2:16" x14ac:dyDescent="0.3">
      <c r="B177" s="66" t="s">
        <v>185</v>
      </c>
      <c r="C177" s="66">
        <v>18</v>
      </c>
      <c r="D177" s="66" t="s">
        <v>48</v>
      </c>
      <c r="E177" s="66" t="s">
        <v>49</v>
      </c>
      <c r="F177" s="66" t="s">
        <v>74</v>
      </c>
      <c r="G177" s="8">
        <v>2200</v>
      </c>
      <c r="H177" s="8">
        <v>318</v>
      </c>
      <c r="I177" s="3">
        <v>3.1800000000000002E-2</v>
      </c>
      <c r="J177" s="6">
        <v>14.5</v>
      </c>
      <c r="K177" s="3">
        <v>0.18</v>
      </c>
      <c r="L177" s="3">
        <v>0.14199999999999999</v>
      </c>
      <c r="M177" s="6">
        <v>4</v>
      </c>
      <c r="N177" s="3">
        <v>5.15</v>
      </c>
      <c r="O177" s="3">
        <v>3.36</v>
      </c>
      <c r="P177" s="65">
        <f t="shared" si="2"/>
        <v>7.696212639346407</v>
      </c>
    </row>
    <row r="178" spans="2:16" x14ac:dyDescent="0.3">
      <c r="B178" s="66" t="s">
        <v>186</v>
      </c>
      <c r="C178" s="66">
        <v>18</v>
      </c>
      <c r="D178" s="66" t="s">
        <v>48</v>
      </c>
      <c r="E178" s="66" t="s">
        <v>49</v>
      </c>
      <c r="F178" s="66" t="s">
        <v>74</v>
      </c>
      <c r="G178" s="8">
        <v>3500</v>
      </c>
      <c r="H178" s="8">
        <v>345</v>
      </c>
      <c r="I178" s="3">
        <v>3.3500000000000002E-2</v>
      </c>
      <c r="J178" s="6">
        <v>15.8</v>
      </c>
      <c r="K178" s="3">
        <v>0.16</v>
      </c>
      <c r="L178" s="3">
        <v>0.14799999999999999</v>
      </c>
      <c r="M178" s="61">
        <v>7.3</v>
      </c>
      <c r="N178" s="3">
        <v>4</v>
      </c>
      <c r="O178" s="3">
        <v>4.3899999999999997</v>
      </c>
      <c r="P178" s="65">
        <f t="shared" si="2"/>
        <v>8.1605182474775049</v>
      </c>
    </row>
    <row r="179" spans="2:16" x14ac:dyDescent="0.3">
      <c r="B179" s="66" t="s">
        <v>14</v>
      </c>
      <c r="C179" s="66">
        <f t="shared" ref="C179" si="3">C169+1</f>
        <v>18</v>
      </c>
      <c r="D179" s="66" t="s">
        <v>48</v>
      </c>
      <c r="E179" s="66" t="s">
        <v>49</v>
      </c>
      <c r="F179" s="66" t="s">
        <v>74</v>
      </c>
      <c r="G179" s="8">
        <v>6600</v>
      </c>
      <c r="H179" s="8">
        <v>366</v>
      </c>
      <c r="I179" s="3">
        <v>3.85E-2</v>
      </c>
      <c r="J179" s="6">
        <v>13.6</v>
      </c>
      <c r="K179" s="3">
        <v>0.11</v>
      </c>
      <c r="L179" s="3">
        <v>0.15</v>
      </c>
      <c r="M179" s="6">
        <v>8.6999999999999993</v>
      </c>
      <c r="N179" s="3">
        <v>4</v>
      </c>
      <c r="O179" s="3">
        <v>5.54</v>
      </c>
      <c r="P179" s="65">
        <f t="shared" si="2"/>
        <v>8.794824928014517</v>
      </c>
    </row>
    <row r="180" spans="2:16" x14ac:dyDescent="0.3">
      <c r="B180" s="66" t="s">
        <v>64</v>
      </c>
      <c r="C180" s="66">
        <f t="shared" ref="C180:C182" si="4">C170+1</f>
        <v>18</v>
      </c>
      <c r="D180" s="66" t="s">
        <v>48</v>
      </c>
      <c r="E180" s="66" t="s">
        <v>49</v>
      </c>
      <c r="F180" s="66" t="s">
        <v>74</v>
      </c>
      <c r="G180" s="8">
        <v>7400</v>
      </c>
      <c r="H180" s="8">
        <v>521</v>
      </c>
      <c r="I180" s="3">
        <v>4.3700000000000003E-2</v>
      </c>
      <c r="J180" s="6">
        <v>9.6999999999999993</v>
      </c>
      <c r="K180" s="3">
        <v>0.08</v>
      </c>
      <c r="L180" s="3">
        <v>0.15</v>
      </c>
      <c r="M180" s="6">
        <v>7.2</v>
      </c>
      <c r="N180" s="3">
        <v>6.5</v>
      </c>
      <c r="O180" s="3">
        <v>7.5</v>
      </c>
      <c r="P180" s="65">
        <f t="shared" si="2"/>
        <v>8.9092352791922611</v>
      </c>
    </row>
    <row r="181" spans="2:16" x14ac:dyDescent="0.3">
      <c r="B181" s="66" t="s">
        <v>65</v>
      </c>
      <c r="C181" s="66">
        <f t="shared" si="4"/>
        <v>18</v>
      </c>
      <c r="D181" s="66" t="s">
        <v>48</v>
      </c>
      <c r="E181" s="66" t="s">
        <v>49</v>
      </c>
      <c r="F181" s="66" t="s">
        <v>74</v>
      </c>
      <c r="G181" s="8">
        <v>11194</v>
      </c>
      <c r="H181" s="8">
        <v>615</v>
      </c>
      <c r="I181" s="3">
        <v>5.1799999999999999E-2</v>
      </c>
      <c r="J181" s="6">
        <v>17</v>
      </c>
      <c r="K181" s="3">
        <v>1.35</v>
      </c>
      <c r="L181" s="3">
        <v>0.16</v>
      </c>
      <c r="M181" s="6">
        <v>8.1999999999999993</v>
      </c>
      <c r="N181" s="3">
        <v>6.5</v>
      </c>
      <c r="O181" s="3">
        <v>10</v>
      </c>
      <c r="P181" s="65">
        <f t="shared" si="2"/>
        <v>9.3231331994513056</v>
      </c>
    </row>
    <row r="182" spans="2:16" x14ac:dyDescent="0.3">
      <c r="B182" s="66" t="s">
        <v>66</v>
      </c>
      <c r="C182" s="66">
        <f t="shared" si="4"/>
        <v>18</v>
      </c>
      <c r="D182" s="66" t="s">
        <v>48</v>
      </c>
      <c r="E182" s="66" t="s">
        <v>49</v>
      </c>
      <c r="F182" s="66" t="s">
        <v>74</v>
      </c>
      <c r="G182" s="8">
        <v>6495</v>
      </c>
      <c r="H182" s="8">
        <v>650</v>
      </c>
      <c r="I182" s="3">
        <v>5.3199999999999997E-2</v>
      </c>
      <c r="J182" s="6">
        <v>5.7</v>
      </c>
      <c r="K182" s="3">
        <v>1.37</v>
      </c>
      <c r="L182" s="3">
        <v>0.14000000000000001</v>
      </c>
      <c r="M182" s="6">
        <v>6.5</v>
      </c>
      <c r="N182" s="3">
        <v>6.25</v>
      </c>
      <c r="O182" s="3">
        <v>10.52</v>
      </c>
      <c r="P182" s="65">
        <f t="shared" si="2"/>
        <v>8.7787879291047002</v>
      </c>
    </row>
    <row r="183" spans="2:16" x14ac:dyDescent="0.3">
      <c r="B183" s="66" t="s">
        <v>181</v>
      </c>
      <c r="C183" s="66">
        <v>19</v>
      </c>
      <c r="D183" s="66" t="s">
        <v>50</v>
      </c>
      <c r="E183" s="66" t="s">
        <v>51</v>
      </c>
      <c r="F183" s="66" t="s">
        <v>74</v>
      </c>
      <c r="G183" s="8">
        <v>420</v>
      </c>
      <c r="H183" s="8">
        <v>68</v>
      </c>
      <c r="I183" s="3">
        <v>1.8499999999999999E-2</v>
      </c>
      <c r="J183" s="6">
        <v>9.5</v>
      </c>
      <c r="K183" s="3">
        <v>0.38</v>
      </c>
      <c r="L183" s="3">
        <v>0.22500000000000001</v>
      </c>
      <c r="M183" s="6">
        <v>8</v>
      </c>
      <c r="N183" s="3">
        <v>6.75</v>
      </c>
      <c r="O183" s="3">
        <v>2.41</v>
      </c>
      <c r="P183" s="65">
        <f t="shared" si="2"/>
        <v>6.0402547112774139</v>
      </c>
    </row>
    <row r="184" spans="2:16" x14ac:dyDescent="0.3">
      <c r="B184" s="66" t="s">
        <v>182</v>
      </c>
      <c r="C184" s="66">
        <v>19</v>
      </c>
      <c r="D184" s="66" t="s">
        <v>50</v>
      </c>
      <c r="E184" s="66" t="s">
        <v>51</v>
      </c>
      <c r="F184" s="66" t="s">
        <v>74</v>
      </c>
      <c r="G184" s="8">
        <v>580</v>
      </c>
      <c r="H184" s="8">
        <v>88</v>
      </c>
      <c r="I184" s="3">
        <v>2.18E-2</v>
      </c>
      <c r="J184" s="6">
        <v>10.8</v>
      </c>
      <c r="K184" s="3">
        <v>0.35</v>
      </c>
      <c r="L184" s="3">
        <v>0.23799999999999999</v>
      </c>
      <c r="M184" s="6">
        <v>8.3000000000000007</v>
      </c>
      <c r="N184" s="3">
        <v>6.25</v>
      </c>
      <c r="O184" s="3">
        <v>2.74</v>
      </c>
      <c r="P184" s="65">
        <f t="shared" si="2"/>
        <v>6.363028103540465</v>
      </c>
    </row>
    <row r="185" spans="2:16" x14ac:dyDescent="0.3">
      <c r="B185" s="66" t="s">
        <v>183</v>
      </c>
      <c r="C185" s="66">
        <v>19</v>
      </c>
      <c r="D185" s="66" t="s">
        <v>50</v>
      </c>
      <c r="E185" s="66" t="s">
        <v>51</v>
      </c>
      <c r="F185" s="66" t="s">
        <v>74</v>
      </c>
      <c r="G185" s="8">
        <v>950</v>
      </c>
      <c r="H185" s="8">
        <v>108</v>
      </c>
      <c r="I185" s="3">
        <v>2.4799999999999999E-2</v>
      </c>
      <c r="J185" s="6">
        <v>12.5</v>
      </c>
      <c r="K185" s="3">
        <v>0.32</v>
      </c>
      <c r="L185" s="3">
        <v>0.248</v>
      </c>
      <c r="M185" s="6">
        <v>6.8</v>
      </c>
      <c r="N185" s="3">
        <v>6</v>
      </c>
      <c r="O185" s="3">
        <v>3.09</v>
      </c>
      <c r="P185" s="65">
        <f t="shared" si="2"/>
        <v>6.8564619845945867</v>
      </c>
    </row>
    <row r="186" spans="2:16" x14ac:dyDescent="0.3">
      <c r="B186" s="66" t="s">
        <v>184</v>
      </c>
      <c r="C186" s="66">
        <v>19</v>
      </c>
      <c r="D186" s="66" t="s">
        <v>50</v>
      </c>
      <c r="E186" s="66" t="s">
        <v>51</v>
      </c>
      <c r="F186" s="66" t="s">
        <v>74</v>
      </c>
      <c r="G186" s="8">
        <v>2800</v>
      </c>
      <c r="H186" s="8">
        <v>128</v>
      </c>
      <c r="I186" s="3">
        <v>2.7199999999999998E-2</v>
      </c>
      <c r="J186" s="6">
        <v>14.2</v>
      </c>
      <c r="K186" s="3">
        <v>0.3</v>
      </c>
      <c r="L186" s="3">
        <v>0.25800000000000001</v>
      </c>
      <c r="M186" s="6">
        <v>6.5</v>
      </c>
      <c r="N186" s="3">
        <v>6.25</v>
      </c>
      <c r="O186" s="3">
        <v>3.36</v>
      </c>
      <c r="P186" s="65">
        <f t="shared" si="2"/>
        <v>7.9373746961632952</v>
      </c>
    </row>
    <row r="187" spans="2:16" x14ac:dyDescent="0.3">
      <c r="B187" s="66" t="s">
        <v>185</v>
      </c>
      <c r="C187" s="66">
        <v>19</v>
      </c>
      <c r="D187" s="66" t="s">
        <v>50</v>
      </c>
      <c r="E187" s="66" t="s">
        <v>51</v>
      </c>
      <c r="F187" s="66" t="s">
        <v>74</v>
      </c>
      <c r="G187" s="8">
        <v>1800</v>
      </c>
      <c r="H187" s="8">
        <v>140</v>
      </c>
      <c r="I187" s="3">
        <v>2.8500000000000001E-2</v>
      </c>
      <c r="J187" s="6">
        <v>12.2</v>
      </c>
      <c r="K187" s="3">
        <v>0.28000000000000003</v>
      </c>
      <c r="L187" s="3">
        <v>0.252</v>
      </c>
      <c r="M187" s="6">
        <v>4</v>
      </c>
      <c r="N187" s="3">
        <v>5.15</v>
      </c>
      <c r="O187" s="3">
        <v>3.36</v>
      </c>
      <c r="P187" s="65">
        <f t="shared" si="2"/>
        <v>7.4955419438842563</v>
      </c>
    </row>
    <row r="188" spans="2:16" x14ac:dyDescent="0.3">
      <c r="B188" s="66" t="s">
        <v>186</v>
      </c>
      <c r="C188" s="66">
        <v>19</v>
      </c>
      <c r="D188" s="66" t="s">
        <v>50</v>
      </c>
      <c r="E188" s="66" t="s">
        <v>51</v>
      </c>
      <c r="F188" s="66" t="s">
        <v>74</v>
      </c>
      <c r="G188" s="8">
        <v>2800</v>
      </c>
      <c r="H188" s="8">
        <v>150</v>
      </c>
      <c r="I188" s="3">
        <v>2.9000000000000001E-2</v>
      </c>
      <c r="J188" s="6">
        <v>13.5</v>
      </c>
      <c r="K188" s="3">
        <v>0.26</v>
      </c>
      <c r="L188" s="3">
        <v>0.255</v>
      </c>
      <c r="M188" s="61">
        <v>7.3</v>
      </c>
      <c r="N188" s="3">
        <v>4</v>
      </c>
      <c r="O188" s="3">
        <v>4.3899999999999997</v>
      </c>
      <c r="P188" s="65">
        <f t="shared" si="2"/>
        <v>7.9373746961632952</v>
      </c>
    </row>
    <row r="189" spans="2:16" x14ac:dyDescent="0.3">
      <c r="B189" s="66" t="s">
        <v>14</v>
      </c>
      <c r="C189" s="66">
        <f>C179+1</f>
        <v>19</v>
      </c>
      <c r="D189" s="66" t="s">
        <v>50</v>
      </c>
      <c r="E189" s="66" t="s">
        <v>51</v>
      </c>
      <c r="F189" s="66" t="s">
        <v>74</v>
      </c>
      <c r="G189" s="8">
        <v>3575</v>
      </c>
      <c r="H189" s="8">
        <v>161</v>
      </c>
      <c r="I189" s="3">
        <v>2.93E-2</v>
      </c>
      <c r="J189" s="6">
        <v>9.6</v>
      </c>
      <c r="K189" s="3">
        <v>0.23</v>
      </c>
      <c r="L189" s="3">
        <v>0.28000000000000003</v>
      </c>
      <c r="M189" s="6">
        <v>8.6999999999999993</v>
      </c>
      <c r="N189" s="3">
        <v>4</v>
      </c>
      <c r="O189" s="3">
        <v>5.54</v>
      </c>
      <c r="P189" s="65">
        <f t="shared" si="2"/>
        <v>8.181720455128108</v>
      </c>
    </row>
    <row r="190" spans="2:16" x14ac:dyDescent="0.3">
      <c r="B190" s="66" t="s">
        <v>64</v>
      </c>
      <c r="C190" s="66">
        <f>C180+1</f>
        <v>19</v>
      </c>
      <c r="D190" s="66" t="s">
        <v>50</v>
      </c>
      <c r="E190" s="66" t="s">
        <v>51</v>
      </c>
      <c r="F190" s="66" t="s">
        <v>74</v>
      </c>
      <c r="G190" s="8">
        <v>4285</v>
      </c>
      <c r="H190" s="8">
        <v>234</v>
      </c>
      <c r="I190" s="3">
        <v>3.39E-2</v>
      </c>
      <c r="J190" s="6">
        <v>12</v>
      </c>
      <c r="K190" s="3">
        <v>0.28000000000000003</v>
      </c>
      <c r="L190" s="3">
        <v>0.25</v>
      </c>
      <c r="M190" s="6">
        <v>7.2</v>
      </c>
      <c r="N190" s="3">
        <v>6.5</v>
      </c>
      <c r="O190" s="3">
        <v>7.5</v>
      </c>
      <c r="P190" s="65">
        <f t="shared" si="2"/>
        <v>8.3628758310318805</v>
      </c>
    </row>
    <row r="191" spans="2:16" x14ac:dyDescent="0.3">
      <c r="B191" s="66" t="s">
        <v>65</v>
      </c>
      <c r="C191" s="66">
        <f>C181+1</f>
        <v>19</v>
      </c>
      <c r="D191" s="66" t="s">
        <v>50</v>
      </c>
      <c r="E191" s="66" t="s">
        <v>51</v>
      </c>
      <c r="F191" s="66" t="s">
        <v>74</v>
      </c>
      <c r="G191" s="8">
        <v>7959</v>
      </c>
      <c r="H191" s="8">
        <v>262</v>
      </c>
      <c r="I191" s="3">
        <v>3.6600000000000001E-2</v>
      </c>
      <c r="J191" s="6">
        <v>11.7</v>
      </c>
      <c r="K191" s="3">
        <v>0.19</v>
      </c>
      <c r="L191" s="3">
        <v>0.24</v>
      </c>
      <c r="M191" s="6">
        <v>8.1999999999999993</v>
      </c>
      <c r="N191" s="3">
        <v>6.5</v>
      </c>
      <c r="O191" s="3">
        <v>10</v>
      </c>
      <c r="P191" s="65">
        <f t="shared" si="2"/>
        <v>8.9820586428058498</v>
      </c>
    </row>
    <row r="192" spans="2:16" x14ac:dyDescent="0.3">
      <c r="B192" s="66" t="s">
        <v>66</v>
      </c>
      <c r="C192" s="66">
        <f>C182+1</f>
        <v>19</v>
      </c>
      <c r="D192" s="66" t="s">
        <v>50</v>
      </c>
      <c r="E192" s="66" t="s">
        <v>51</v>
      </c>
      <c r="F192" s="66" t="s">
        <v>74</v>
      </c>
      <c r="G192" s="8">
        <v>5800</v>
      </c>
      <c r="H192" s="8">
        <v>290</v>
      </c>
      <c r="I192" s="3">
        <v>3.8100000000000002E-2</v>
      </c>
      <c r="J192" s="6">
        <v>13.2</v>
      </c>
      <c r="K192" s="3">
        <v>0.37</v>
      </c>
      <c r="L192" s="3">
        <v>0.17</v>
      </c>
      <c r="M192" s="6">
        <v>6.5</v>
      </c>
      <c r="N192" s="3">
        <v>6.25</v>
      </c>
      <c r="O192" s="3">
        <v>10.52</v>
      </c>
      <c r="P192" s="65">
        <f t="shared" si="2"/>
        <v>8.66561319653451</v>
      </c>
    </row>
    <row r="193" spans="2:16" x14ac:dyDescent="0.3">
      <c r="B193" s="66" t="s">
        <v>181</v>
      </c>
      <c r="C193" s="66">
        <v>20</v>
      </c>
      <c r="D193" s="66" t="s">
        <v>52</v>
      </c>
      <c r="E193" s="66" t="s">
        <v>53</v>
      </c>
      <c r="F193" s="66" t="s">
        <v>72</v>
      </c>
      <c r="G193" s="8">
        <v>1850</v>
      </c>
      <c r="H193" s="8">
        <v>80</v>
      </c>
      <c r="I193" s="3">
        <v>2.7199999999999998E-2</v>
      </c>
      <c r="J193" s="6">
        <v>14.5</v>
      </c>
      <c r="K193" s="3">
        <v>0.38</v>
      </c>
      <c r="L193" s="3">
        <v>0.11799999999999999</v>
      </c>
      <c r="M193" s="6">
        <v>8</v>
      </c>
      <c r="N193" s="3">
        <v>6.75</v>
      </c>
      <c r="O193" s="3">
        <v>2.41</v>
      </c>
      <c r="P193" s="65">
        <f t="shared" si="2"/>
        <v>7.5229409180723703</v>
      </c>
    </row>
    <row r="194" spans="2:16" x14ac:dyDescent="0.3">
      <c r="B194" s="66" t="s">
        <v>182</v>
      </c>
      <c r="C194" s="66">
        <v>20</v>
      </c>
      <c r="D194" s="66" t="s">
        <v>52</v>
      </c>
      <c r="E194" s="66" t="s">
        <v>53</v>
      </c>
      <c r="F194" s="66" t="s">
        <v>72</v>
      </c>
      <c r="G194" s="8">
        <v>2200</v>
      </c>
      <c r="H194" s="8">
        <v>88</v>
      </c>
      <c r="I194" s="3">
        <v>2.8799999999999999E-2</v>
      </c>
      <c r="J194" s="6">
        <v>15.8</v>
      </c>
      <c r="K194" s="3">
        <v>0.36</v>
      </c>
      <c r="L194" s="3">
        <v>0.122</v>
      </c>
      <c r="M194" s="6">
        <v>8.3000000000000007</v>
      </c>
      <c r="N194" s="3">
        <v>6.25</v>
      </c>
      <c r="O194" s="3">
        <v>2.74</v>
      </c>
      <c r="P194" s="65">
        <f t="shared" si="2"/>
        <v>7.696212639346407</v>
      </c>
    </row>
    <row r="195" spans="2:16" x14ac:dyDescent="0.3">
      <c r="B195" s="66" t="s">
        <v>183</v>
      </c>
      <c r="C195" s="66">
        <v>20</v>
      </c>
      <c r="D195" s="66" t="s">
        <v>52</v>
      </c>
      <c r="E195" s="66" t="s">
        <v>53</v>
      </c>
      <c r="F195" s="66" t="s">
        <v>72</v>
      </c>
      <c r="G195" s="8">
        <v>3500</v>
      </c>
      <c r="H195" s="8">
        <v>96</v>
      </c>
      <c r="I195" s="3">
        <v>3.0499999999999999E-2</v>
      </c>
      <c r="J195" s="6">
        <v>17.5</v>
      </c>
      <c r="K195" s="3">
        <v>0.34</v>
      </c>
      <c r="L195" s="3">
        <v>0.125</v>
      </c>
      <c r="M195" s="6">
        <v>6.8</v>
      </c>
      <c r="N195" s="3">
        <v>6</v>
      </c>
      <c r="O195" s="3">
        <v>3.09</v>
      </c>
      <c r="P195" s="65">
        <f t="shared" si="2"/>
        <v>8.1605182474775049</v>
      </c>
    </row>
    <row r="196" spans="2:16" x14ac:dyDescent="0.3">
      <c r="B196" s="66" t="s">
        <v>184</v>
      </c>
      <c r="C196" s="66">
        <v>20</v>
      </c>
      <c r="D196" s="66" t="s">
        <v>52</v>
      </c>
      <c r="E196" s="66" t="s">
        <v>53</v>
      </c>
      <c r="F196" s="66" t="s">
        <v>72</v>
      </c>
      <c r="G196" s="8">
        <v>2800</v>
      </c>
      <c r="H196" s="8">
        <v>104</v>
      </c>
      <c r="I196" s="3">
        <v>3.1800000000000002E-2</v>
      </c>
      <c r="J196" s="6">
        <v>16.2</v>
      </c>
      <c r="K196" s="3">
        <v>0.36</v>
      </c>
      <c r="L196" s="3">
        <v>0.11799999999999999</v>
      </c>
      <c r="M196" s="6">
        <v>6.5</v>
      </c>
      <c r="N196" s="3">
        <v>6.25</v>
      </c>
      <c r="O196" s="3">
        <v>3.36</v>
      </c>
      <c r="P196" s="65">
        <f t="shared" ref="P196:P252" si="5">LN(G196)</f>
        <v>7.9373746961632952</v>
      </c>
    </row>
    <row r="197" spans="2:16" x14ac:dyDescent="0.3">
      <c r="B197" s="66" t="s">
        <v>185</v>
      </c>
      <c r="C197" s="66">
        <v>20</v>
      </c>
      <c r="D197" s="66" t="s">
        <v>52</v>
      </c>
      <c r="E197" s="66" t="s">
        <v>53</v>
      </c>
      <c r="F197" s="66" t="s">
        <v>72</v>
      </c>
      <c r="G197" s="8">
        <v>1600</v>
      </c>
      <c r="H197" s="8">
        <v>110</v>
      </c>
      <c r="I197" s="3">
        <v>3.2800000000000003E-2</v>
      </c>
      <c r="J197" s="6">
        <v>14.5</v>
      </c>
      <c r="K197" s="3">
        <v>0.4</v>
      </c>
      <c r="L197" s="3">
        <v>0.108</v>
      </c>
      <c r="M197" s="6">
        <v>4</v>
      </c>
      <c r="N197" s="3">
        <v>5.15</v>
      </c>
      <c r="O197" s="3">
        <v>3.36</v>
      </c>
      <c r="P197" s="65">
        <f t="shared" si="5"/>
        <v>7.3777589082278725</v>
      </c>
    </row>
    <row r="198" spans="2:16" x14ac:dyDescent="0.3">
      <c r="B198" s="66" t="s">
        <v>186</v>
      </c>
      <c r="C198" s="66">
        <v>20</v>
      </c>
      <c r="D198" s="66" t="s">
        <v>52</v>
      </c>
      <c r="E198" s="66" t="s">
        <v>53</v>
      </c>
      <c r="F198" s="66" t="s">
        <v>72</v>
      </c>
      <c r="G198" s="8">
        <v>1800</v>
      </c>
      <c r="H198" s="8">
        <v>115</v>
      </c>
      <c r="I198" s="3">
        <v>3.32E-2</v>
      </c>
      <c r="J198" s="6">
        <v>15.5</v>
      </c>
      <c r="K198" s="3">
        <v>0.38</v>
      </c>
      <c r="L198" s="3">
        <v>0.112</v>
      </c>
      <c r="M198" s="61">
        <v>7.3</v>
      </c>
      <c r="N198" s="3">
        <v>4</v>
      </c>
      <c r="O198" s="3">
        <v>4.3899999999999997</v>
      </c>
      <c r="P198" s="65">
        <f t="shared" si="5"/>
        <v>7.4955419438842563</v>
      </c>
    </row>
    <row r="199" spans="2:16" x14ac:dyDescent="0.3">
      <c r="B199" s="66" t="s">
        <v>14</v>
      </c>
      <c r="C199" s="66">
        <f>C189+1</f>
        <v>20</v>
      </c>
      <c r="D199" s="66" t="s">
        <v>52</v>
      </c>
      <c r="E199" s="66" t="s">
        <v>53</v>
      </c>
      <c r="F199" s="66" t="s">
        <v>72</v>
      </c>
      <c r="G199" s="8">
        <v>2350</v>
      </c>
      <c r="H199" s="8">
        <v>123</v>
      </c>
      <c r="I199" s="3">
        <v>3.3700000000000001E-2</v>
      </c>
      <c r="J199" s="6">
        <v>13.4</v>
      </c>
      <c r="K199" s="3">
        <v>0.28000000000000003</v>
      </c>
      <c r="L199" s="3">
        <v>0.13</v>
      </c>
      <c r="M199" s="6">
        <v>8.6999999999999993</v>
      </c>
      <c r="N199" s="3">
        <v>4</v>
      </c>
      <c r="O199" s="3">
        <v>5.54</v>
      </c>
      <c r="P199" s="65">
        <f t="shared" si="5"/>
        <v>7.7621706071382048</v>
      </c>
    </row>
    <row r="200" spans="2:16" x14ac:dyDescent="0.3">
      <c r="B200" s="66" t="s">
        <v>64</v>
      </c>
      <c r="C200" s="66">
        <f>C190+1</f>
        <v>20</v>
      </c>
      <c r="D200" s="66" t="s">
        <v>52</v>
      </c>
      <c r="E200" s="66" t="s">
        <v>53</v>
      </c>
      <c r="F200" s="66" t="s">
        <v>72</v>
      </c>
      <c r="G200" s="8">
        <v>3352</v>
      </c>
      <c r="H200" s="8">
        <v>169</v>
      </c>
      <c r="I200" s="3">
        <v>3.7199999999999997E-2</v>
      </c>
      <c r="J200" s="6">
        <v>11.9</v>
      </c>
      <c r="K200" s="3">
        <v>0.14000000000000001</v>
      </c>
      <c r="L200" s="3">
        <v>0.2</v>
      </c>
      <c r="M200" s="6">
        <v>7.2</v>
      </c>
      <c r="N200" s="3">
        <v>6.5</v>
      </c>
      <c r="O200" s="3">
        <v>7.5</v>
      </c>
      <c r="P200" s="65">
        <f t="shared" si="5"/>
        <v>8.1173124616019745</v>
      </c>
    </row>
    <row r="201" spans="2:16" x14ac:dyDescent="0.3">
      <c r="B201" s="66" t="s">
        <v>65</v>
      </c>
      <c r="C201" s="66">
        <f>C191+1</f>
        <v>20</v>
      </c>
      <c r="D201" s="66" t="s">
        <v>52</v>
      </c>
      <c r="E201" s="66" t="s">
        <v>53</v>
      </c>
      <c r="F201" s="66" t="s">
        <v>72</v>
      </c>
      <c r="G201" s="8">
        <v>4558</v>
      </c>
      <c r="H201" s="8">
        <v>180</v>
      </c>
      <c r="I201" s="3">
        <v>4.2200000000000001E-2</v>
      </c>
      <c r="J201" s="6">
        <v>15.3</v>
      </c>
      <c r="K201" s="3">
        <v>0.15</v>
      </c>
      <c r="L201" s="3">
        <v>0.2</v>
      </c>
      <c r="M201" s="6">
        <v>8.1999999999999993</v>
      </c>
      <c r="N201" s="3">
        <v>6.5</v>
      </c>
      <c r="O201" s="3">
        <v>10</v>
      </c>
      <c r="P201" s="65">
        <f t="shared" si="5"/>
        <v>8.4246392098056297</v>
      </c>
    </row>
    <row r="202" spans="2:16" x14ac:dyDescent="0.3">
      <c r="B202" s="66" t="s">
        <v>66</v>
      </c>
      <c r="C202" s="66">
        <f>C192+1</f>
        <v>20</v>
      </c>
      <c r="D202" s="66" t="s">
        <v>52</v>
      </c>
      <c r="E202" s="66" t="s">
        <v>53</v>
      </c>
      <c r="F202" s="66" t="s">
        <v>72</v>
      </c>
      <c r="G202" s="8">
        <v>4000</v>
      </c>
      <c r="H202" s="8">
        <v>195</v>
      </c>
      <c r="I202" s="3">
        <v>4.41E-2</v>
      </c>
      <c r="J202" s="6">
        <v>33.700000000000003</v>
      </c>
      <c r="K202" s="3">
        <v>0.17</v>
      </c>
      <c r="L202" s="3">
        <v>0.2</v>
      </c>
      <c r="M202" s="6">
        <v>6.5</v>
      </c>
      <c r="N202" s="3">
        <v>6.25</v>
      </c>
      <c r="O202" s="3">
        <v>10.52</v>
      </c>
      <c r="P202" s="65">
        <f t="shared" si="5"/>
        <v>8.2940496401020276</v>
      </c>
    </row>
    <row r="203" spans="2:16" x14ac:dyDescent="0.3">
      <c r="B203" s="66" t="s">
        <v>181</v>
      </c>
      <c r="C203" s="66">
        <v>21</v>
      </c>
      <c r="D203" s="66" t="s">
        <v>54</v>
      </c>
      <c r="E203" s="66" t="s">
        <v>55</v>
      </c>
      <c r="F203" s="66" t="s">
        <v>71</v>
      </c>
      <c r="G203" s="8">
        <v>128000</v>
      </c>
      <c r="H203" s="8">
        <v>5200</v>
      </c>
      <c r="I203" s="3">
        <v>3.2500000000000001E-2</v>
      </c>
      <c r="J203" s="6">
        <v>28.5</v>
      </c>
      <c r="K203" s="3">
        <v>0.38</v>
      </c>
      <c r="L203" s="3">
        <v>9.5000000000000001E-2</v>
      </c>
      <c r="M203" s="6">
        <v>8</v>
      </c>
      <c r="N203" s="3">
        <v>6.75</v>
      </c>
      <c r="O203" s="3">
        <v>2.41</v>
      </c>
      <c r="P203" s="65">
        <f t="shared" si="5"/>
        <v>11.759785542901755</v>
      </c>
    </row>
    <row r="204" spans="2:16" x14ac:dyDescent="0.3">
      <c r="B204" s="66" t="s">
        <v>182</v>
      </c>
      <c r="C204" s="66">
        <v>21</v>
      </c>
      <c r="D204" s="66" t="s">
        <v>54</v>
      </c>
      <c r="E204" s="66" t="s">
        <v>55</v>
      </c>
      <c r="F204" s="66" t="s">
        <v>71</v>
      </c>
      <c r="G204" s="8">
        <v>140000</v>
      </c>
      <c r="H204" s="8">
        <v>5600</v>
      </c>
      <c r="I204" s="3">
        <v>3.4200000000000001E-2</v>
      </c>
      <c r="J204" s="6">
        <v>30.2</v>
      </c>
      <c r="K204" s="3">
        <v>0.36</v>
      </c>
      <c r="L204" s="3">
        <v>9.8000000000000004E-2</v>
      </c>
      <c r="M204" s="6">
        <v>8.3000000000000007</v>
      </c>
      <c r="N204" s="3">
        <v>6.25</v>
      </c>
      <c r="O204" s="3">
        <v>2.74</v>
      </c>
      <c r="P204" s="65">
        <f t="shared" si="5"/>
        <v>11.849397701591441</v>
      </c>
    </row>
    <row r="205" spans="2:16" x14ac:dyDescent="0.3">
      <c r="B205" s="66" t="s">
        <v>183</v>
      </c>
      <c r="C205" s="66">
        <v>21</v>
      </c>
      <c r="D205" s="66" t="s">
        <v>54</v>
      </c>
      <c r="E205" s="66" t="s">
        <v>55</v>
      </c>
      <c r="F205" s="66" t="s">
        <v>71</v>
      </c>
      <c r="G205" s="8">
        <v>175000</v>
      </c>
      <c r="H205" s="8">
        <v>6100</v>
      </c>
      <c r="I205" s="3">
        <v>3.6200000000000003E-2</v>
      </c>
      <c r="J205" s="6">
        <v>32.5</v>
      </c>
      <c r="K205" s="3">
        <v>0.35</v>
      </c>
      <c r="L205" s="3">
        <v>0.1</v>
      </c>
      <c r="M205" s="6">
        <v>6.8</v>
      </c>
      <c r="N205" s="3">
        <v>6</v>
      </c>
      <c r="O205" s="3">
        <v>3.09</v>
      </c>
      <c r="P205" s="65">
        <f t="shared" si="5"/>
        <v>12.072541252905651</v>
      </c>
    </row>
    <row r="206" spans="2:16" x14ac:dyDescent="0.3">
      <c r="B206" s="66" t="s">
        <v>184</v>
      </c>
      <c r="C206" s="66">
        <v>21</v>
      </c>
      <c r="D206" s="66" t="s">
        <v>54</v>
      </c>
      <c r="E206" s="66" t="s">
        <v>55</v>
      </c>
      <c r="F206" s="66" t="s">
        <v>71</v>
      </c>
      <c r="G206" s="8">
        <v>185000</v>
      </c>
      <c r="H206" s="8">
        <v>6500</v>
      </c>
      <c r="I206" s="3">
        <v>3.7999999999999999E-2</v>
      </c>
      <c r="J206" s="6">
        <v>33.200000000000003</v>
      </c>
      <c r="K206" s="3">
        <v>0.34</v>
      </c>
      <c r="L206" s="3">
        <v>0.10199999999999999</v>
      </c>
      <c r="M206" s="6">
        <v>6.5</v>
      </c>
      <c r="N206" s="3">
        <v>6.25</v>
      </c>
      <c r="O206" s="3">
        <v>3.36</v>
      </c>
      <c r="P206" s="65">
        <f t="shared" si="5"/>
        <v>12.128111104060462</v>
      </c>
    </row>
    <row r="207" spans="2:16" x14ac:dyDescent="0.3">
      <c r="B207" s="66" t="s">
        <v>185</v>
      </c>
      <c r="C207" s="66">
        <v>21</v>
      </c>
      <c r="D207" s="66" t="s">
        <v>54</v>
      </c>
      <c r="E207" s="66" t="s">
        <v>55</v>
      </c>
      <c r="F207" s="66" t="s">
        <v>71</v>
      </c>
      <c r="G207" s="8">
        <v>145000</v>
      </c>
      <c r="H207" s="8">
        <v>6800</v>
      </c>
      <c r="I207" s="3">
        <v>3.95E-2</v>
      </c>
      <c r="J207" s="6">
        <v>28.5</v>
      </c>
      <c r="K207" s="3">
        <v>0.35</v>
      </c>
      <c r="L207" s="3">
        <v>9.6000000000000002E-2</v>
      </c>
      <c r="M207" s="6">
        <v>4</v>
      </c>
      <c r="N207" s="3">
        <v>5.15</v>
      </c>
      <c r="O207" s="3">
        <v>3.36</v>
      </c>
      <c r="P207" s="65">
        <f t="shared" si="5"/>
        <v>11.884489021402711</v>
      </c>
    </row>
    <row r="208" spans="2:16" x14ac:dyDescent="0.3">
      <c r="B208" s="66" t="s">
        <v>186</v>
      </c>
      <c r="C208" s="66">
        <v>21</v>
      </c>
      <c r="D208" s="66" t="s">
        <v>54</v>
      </c>
      <c r="E208" s="66" t="s">
        <v>55</v>
      </c>
      <c r="F208" s="66" t="s">
        <v>71</v>
      </c>
      <c r="G208" s="8">
        <v>188000</v>
      </c>
      <c r="H208" s="8">
        <v>6900</v>
      </c>
      <c r="I208" s="3">
        <v>3.5200000000000002E-2</v>
      </c>
      <c r="J208" s="6">
        <v>30.5</v>
      </c>
      <c r="K208" s="3">
        <v>0.33</v>
      </c>
      <c r="L208" s="3">
        <v>9.8000000000000004E-2</v>
      </c>
      <c r="M208" s="61">
        <v>7.3</v>
      </c>
      <c r="N208" s="3">
        <v>4</v>
      </c>
      <c r="O208" s="3">
        <v>4.3899999999999997</v>
      </c>
      <c r="P208" s="65">
        <f t="shared" si="5"/>
        <v>12.144197241812087</v>
      </c>
    </row>
    <row r="209" spans="2:16" x14ac:dyDescent="0.3">
      <c r="B209" s="66" t="s">
        <v>14</v>
      </c>
      <c r="C209" s="66">
        <f>C199+1</f>
        <v>21</v>
      </c>
      <c r="D209" s="66" t="s">
        <v>54</v>
      </c>
      <c r="E209" s="66" t="s">
        <v>55</v>
      </c>
      <c r="F209" s="66" t="s">
        <v>71</v>
      </c>
      <c r="G209" s="8">
        <v>293100</v>
      </c>
      <c r="H209" s="8">
        <v>6965</v>
      </c>
      <c r="I209" s="3">
        <v>3.5700000000000003E-2</v>
      </c>
      <c r="J209" s="6">
        <v>29.8</v>
      </c>
      <c r="K209" s="3">
        <v>0.3</v>
      </c>
      <c r="L209" s="3">
        <v>0.1</v>
      </c>
      <c r="M209" s="6">
        <v>8.6999999999999993</v>
      </c>
      <c r="N209" s="3">
        <v>4</v>
      </c>
      <c r="O209" s="3">
        <v>5.54</v>
      </c>
      <c r="P209" s="65">
        <f t="shared" si="5"/>
        <v>12.588269126698984</v>
      </c>
    </row>
    <row r="210" spans="2:16" x14ac:dyDescent="0.3">
      <c r="B210" s="66" t="s">
        <v>64</v>
      </c>
      <c r="C210" s="66">
        <f>C200+1</f>
        <v>21</v>
      </c>
      <c r="D210" s="66" t="s">
        <v>54</v>
      </c>
      <c r="E210" s="66" t="s">
        <v>55</v>
      </c>
      <c r="F210" s="66" t="s">
        <v>71</v>
      </c>
      <c r="G210" s="8">
        <v>485100</v>
      </c>
      <c r="H210" s="8">
        <v>8521</v>
      </c>
      <c r="I210" s="3">
        <v>4.24E-2</v>
      </c>
      <c r="J210" s="6">
        <v>30.4</v>
      </c>
      <c r="K210" s="3">
        <v>0.25</v>
      </c>
      <c r="L210" s="3">
        <v>0.12</v>
      </c>
      <c r="M210" s="6">
        <v>7.2</v>
      </c>
      <c r="N210" s="3">
        <v>6.5</v>
      </c>
      <c r="O210" s="3">
        <v>7.5</v>
      </c>
      <c r="P210" s="65">
        <f t="shared" si="5"/>
        <v>13.092110334233308</v>
      </c>
    </row>
    <row r="211" spans="2:16" x14ac:dyDescent="0.3">
      <c r="B211" s="66" t="s">
        <v>65</v>
      </c>
      <c r="C211" s="66">
        <f>C201+1</f>
        <v>21</v>
      </c>
      <c r="D211" s="66" t="s">
        <v>54</v>
      </c>
      <c r="E211" s="66" t="s">
        <v>55</v>
      </c>
      <c r="F211" s="66" t="s">
        <v>71</v>
      </c>
      <c r="G211" s="8">
        <v>498400</v>
      </c>
      <c r="H211" s="8">
        <v>10752</v>
      </c>
      <c r="I211" s="3">
        <v>4.8000000000000001E-2</v>
      </c>
      <c r="J211" s="6">
        <v>41.8</v>
      </c>
      <c r="K211" s="3">
        <v>0.35</v>
      </c>
      <c r="L211" s="3">
        <v>0.13</v>
      </c>
      <c r="M211" s="6">
        <v>8.1999999999999993</v>
      </c>
      <c r="N211" s="3">
        <v>6.5</v>
      </c>
      <c r="O211" s="3">
        <v>10</v>
      </c>
      <c r="P211" s="65">
        <f t="shared" si="5"/>
        <v>13.119158246455381</v>
      </c>
    </row>
    <row r="212" spans="2:16" x14ac:dyDescent="0.3">
      <c r="B212" s="66" t="s">
        <v>66</v>
      </c>
      <c r="C212" s="66">
        <f>C202+1</f>
        <v>21</v>
      </c>
      <c r="D212" s="66" t="s">
        <v>54</v>
      </c>
      <c r="E212" s="66" t="s">
        <v>55</v>
      </c>
      <c r="F212" s="66" t="s">
        <v>71</v>
      </c>
      <c r="G212" s="8">
        <v>556300</v>
      </c>
      <c r="H212" s="8">
        <v>11248</v>
      </c>
      <c r="I212" s="3">
        <v>5.21E-2</v>
      </c>
      <c r="J212" s="6">
        <v>34.6</v>
      </c>
      <c r="K212" s="3">
        <v>0.31</v>
      </c>
      <c r="L212" s="3">
        <v>0.14000000000000001</v>
      </c>
      <c r="M212" s="6">
        <v>6.5</v>
      </c>
      <c r="N212" s="3">
        <v>6.25</v>
      </c>
      <c r="O212" s="3">
        <v>10.52</v>
      </c>
      <c r="P212" s="65">
        <f t="shared" si="5"/>
        <v>13.229062996063385</v>
      </c>
    </row>
    <row r="213" spans="2:16" x14ac:dyDescent="0.3">
      <c r="B213" s="66" t="s">
        <v>181</v>
      </c>
      <c r="C213" s="66">
        <v>22</v>
      </c>
      <c r="D213" s="66" t="s">
        <v>56</v>
      </c>
      <c r="E213" s="66" t="s">
        <v>57</v>
      </c>
      <c r="F213" s="66" t="s">
        <v>69</v>
      </c>
      <c r="G213" s="8">
        <v>1500</v>
      </c>
      <c r="H213" s="8">
        <v>2800</v>
      </c>
      <c r="I213" s="3">
        <v>6.8199999999999997E-2</v>
      </c>
      <c r="J213" s="6">
        <v>725</v>
      </c>
      <c r="K213" s="3">
        <v>3.85</v>
      </c>
      <c r="L213" s="3">
        <v>4.8000000000000001E-2</v>
      </c>
      <c r="M213" s="6">
        <v>8</v>
      </c>
      <c r="N213" s="3">
        <v>6.75</v>
      </c>
      <c r="O213" s="3">
        <v>2.41</v>
      </c>
      <c r="P213" s="65">
        <f t="shared" si="5"/>
        <v>7.3132203870903014</v>
      </c>
    </row>
    <row r="214" spans="2:16" x14ac:dyDescent="0.3">
      <c r="B214" s="66" t="s">
        <v>182</v>
      </c>
      <c r="C214" s="66">
        <v>22</v>
      </c>
      <c r="D214" s="66" t="s">
        <v>56</v>
      </c>
      <c r="E214" s="66" t="s">
        <v>57</v>
      </c>
      <c r="F214" s="66" t="s">
        <v>69</v>
      </c>
      <c r="G214" s="8">
        <v>2200</v>
      </c>
      <c r="H214" s="8">
        <v>4200</v>
      </c>
      <c r="I214" s="3">
        <v>8.5199999999999998E-2</v>
      </c>
      <c r="J214" s="6">
        <v>725</v>
      </c>
      <c r="K214" s="3">
        <v>3.92</v>
      </c>
      <c r="L214" s="3">
        <v>5.1999999999999998E-2</v>
      </c>
      <c r="M214" s="6">
        <v>8.3000000000000007</v>
      </c>
      <c r="N214" s="3">
        <v>6.25</v>
      </c>
      <c r="O214" s="3">
        <v>2.74</v>
      </c>
      <c r="P214" s="65">
        <f t="shared" si="5"/>
        <v>7.696212639346407</v>
      </c>
    </row>
    <row r="215" spans="2:16" x14ac:dyDescent="0.3">
      <c r="B215" s="66" t="s">
        <v>183</v>
      </c>
      <c r="C215" s="66">
        <v>22</v>
      </c>
      <c r="D215" s="66" t="s">
        <v>56</v>
      </c>
      <c r="E215" s="66" t="s">
        <v>57</v>
      </c>
      <c r="F215" s="66" t="s">
        <v>69</v>
      </c>
      <c r="G215" s="8">
        <v>8500</v>
      </c>
      <c r="H215" s="8">
        <v>6200</v>
      </c>
      <c r="I215" s="3">
        <v>9.8500000000000004E-2</v>
      </c>
      <c r="J215" s="6">
        <v>725</v>
      </c>
      <c r="K215" s="3">
        <v>4.12</v>
      </c>
      <c r="L215" s="3">
        <v>5.8000000000000003E-2</v>
      </c>
      <c r="M215" s="6">
        <v>6.8</v>
      </c>
      <c r="N215" s="3">
        <v>6</v>
      </c>
      <c r="O215" s="3">
        <v>3.09</v>
      </c>
      <c r="P215" s="65">
        <f t="shared" si="5"/>
        <v>9.0478214424784085</v>
      </c>
    </row>
    <row r="216" spans="2:16" x14ac:dyDescent="0.3">
      <c r="B216" s="66" t="s">
        <v>184</v>
      </c>
      <c r="C216" s="66">
        <v>22</v>
      </c>
      <c r="D216" s="66" t="s">
        <v>56</v>
      </c>
      <c r="E216" s="66" t="s">
        <v>57</v>
      </c>
      <c r="F216" s="66" t="s">
        <v>69</v>
      </c>
      <c r="G216" s="8">
        <v>28000</v>
      </c>
      <c r="H216" s="8">
        <v>7800</v>
      </c>
      <c r="I216" s="3">
        <v>0.1085</v>
      </c>
      <c r="J216" s="6">
        <v>725</v>
      </c>
      <c r="K216" s="3">
        <v>4.28</v>
      </c>
      <c r="L216" s="3">
        <v>6.2E-2</v>
      </c>
      <c r="M216" s="6">
        <v>6.5</v>
      </c>
      <c r="N216" s="3">
        <v>6.25</v>
      </c>
      <c r="O216" s="3">
        <v>3.36</v>
      </c>
      <c r="P216" s="65">
        <f t="shared" si="5"/>
        <v>10.239959789157341</v>
      </c>
    </row>
    <row r="217" spans="2:16" x14ac:dyDescent="0.3">
      <c r="B217" s="66" t="s">
        <v>185</v>
      </c>
      <c r="C217" s="66">
        <v>22</v>
      </c>
      <c r="D217" s="66" t="s">
        <v>56</v>
      </c>
      <c r="E217" s="66" t="s">
        <v>57</v>
      </c>
      <c r="F217" s="66" t="s">
        <v>69</v>
      </c>
      <c r="G217" s="8">
        <v>50000</v>
      </c>
      <c r="H217" s="8">
        <v>9200</v>
      </c>
      <c r="I217" s="3">
        <v>0.1125</v>
      </c>
      <c r="J217" s="6">
        <v>725</v>
      </c>
      <c r="K217" s="3">
        <v>4.45</v>
      </c>
      <c r="L217" s="3">
        <v>6.5000000000000002E-2</v>
      </c>
      <c r="M217" s="6">
        <v>4</v>
      </c>
      <c r="N217" s="3">
        <v>5.15</v>
      </c>
      <c r="O217" s="3">
        <v>3.36</v>
      </c>
      <c r="P217" s="65">
        <f t="shared" si="5"/>
        <v>10.819778284410283</v>
      </c>
    </row>
    <row r="218" spans="2:16" x14ac:dyDescent="0.3">
      <c r="B218" s="66" t="s">
        <v>186</v>
      </c>
      <c r="C218" s="66">
        <v>22</v>
      </c>
      <c r="D218" s="66" t="s">
        <v>56</v>
      </c>
      <c r="E218" s="66" t="s">
        <v>57</v>
      </c>
      <c r="F218" s="66" t="s">
        <v>69</v>
      </c>
      <c r="G218" s="8">
        <v>155000</v>
      </c>
      <c r="H218" s="8">
        <v>10500</v>
      </c>
      <c r="I218" s="3">
        <v>0.1285</v>
      </c>
      <c r="J218" s="6">
        <v>725</v>
      </c>
      <c r="K218" s="3">
        <v>4.58</v>
      </c>
      <c r="L218" s="3">
        <v>7.0000000000000007E-2</v>
      </c>
      <c r="M218" s="61">
        <v>7.3</v>
      </c>
      <c r="N218" s="3">
        <v>4</v>
      </c>
      <c r="O218" s="3">
        <v>4.3899999999999997</v>
      </c>
      <c r="P218" s="65">
        <f t="shared" si="5"/>
        <v>11.951180395901384</v>
      </c>
    </row>
    <row r="219" spans="2:16" x14ac:dyDescent="0.3">
      <c r="B219" s="66" t="s">
        <v>14</v>
      </c>
      <c r="C219" s="66">
        <f>C209+1</f>
        <v>22</v>
      </c>
      <c r="D219" s="66" t="s">
        <v>56</v>
      </c>
      <c r="E219" s="66" t="s">
        <v>57</v>
      </c>
      <c r="F219" s="66" t="s">
        <v>69</v>
      </c>
      <c r="G219" s="8">
        <v>306000</v>
      </c>
      <c r="H219" s="8">
        <v>11362</v>
      </c>
      <c r="I219" s="3">
        <v>0.1459</v>
      </c>
      <c r="J219" s="6">
        <v>725</v>
      </c>
      <c r="K219" s="3">
        <v>4.66</v>
      </c>
      <c r="L219" s="3">
        <v>0.08</v>
      </c>
      <c r="M219" s="6">
        <v>8.6999999999999993</v>
      </c>
      <c r="N219" s="3">
        <v>4</v>
      </c>
      <c r="O219" s="3">
        <v>5.54</v>
      </c>
      <c r="P219" s="65">
        <f t="shared" si="5"/>
        <v>12.631340380934517</v>
      </c>
    </row>
    <row r="220" spans="2:16" x14ac:dyDescent="0.3">
      <c r="B220" s="66" t="s">
        <v>64</v>
      </c>
      <c r="C220" s="66">
        <f>C210+1</f>
        <v>22</v>
      </c>
      <c r="D220" s="66" t="s">
        <v>56</v>
      </c>
      <c r="E220" s="66" t="s">
        <v>57</v>
      </c>
      <c r="F220" s="66" t="s">
        <v>69</v>
      </c>
      <c r="G220" s="8">
        <v>253200</v>
      </c>
      <c r="H220" s="8">
        <v>17289</v>
      </c>
      <c r="I220" s="3">
        <v>0.1691</v>
      </c>
      <c r="J220" s="6">
        <v>220.3</v>
      </c>
      <c r="K220" s="3">
        <v>4.72</v>
      </c>
      <c r="L220" s="3">
        <v>0.08</v>
      </c>
      <c r="M220" s="6">
        <v>7.2</v>
      </c>
      <c r="N220" s="3">
        <v>6.5</v>
      </c>
      <c r="O220" s="3">
        <v>7.5</v>
      </c>
      <c r="P220" s="65">
        <f t="shared" si="5"/>
        <v>12.441934969252157</v>
      </c>
    </row>
    <row r="221" spans="2:16" x14ac:dyDescent="0.3">
      <c r="B221" s="66" t="s">
        <v>65</v>
      </c>
      <c r="C221" s="66">
        <f>C211+1</f>
        <v>22</v>
      </c>
      <c r="D221" s="66" t="s">
        <v>56</v>
      </c>
      <c r="E221" s="66" t="s">
        <v>57</v>
      </c>
      <c r="F221" s="66" t="s">
        <v>69</v>
      </c>
      <c r="G221" s="8">
        <v>167700</v>
      </c>
      <c r="H221" s="8">
        <v>19862</v>
      </c>
      <c r="I221" s="3">
        <v>0.18559999999999999</v>
      </c>
      <c r="J221" s="6">
        <v>176.6</v>
      </c>
      <c r="K221" s="3">
        <v>4.8</v>
      </c>
      <c r="L221" s="3">
        <v>0.1</v>
      </c>
      <c r="M221" s="6">
        <v>8.1999999999999993</v>
      </c>
      <c r="N221" s="3">
        <v>6.5</v>
      </c>
      <c r="O221" s="3">
        <v>10</v>
      </c>
      <c r="P221" s="65">
        <f t="shared" si="5"/>
        <v>12.029931947811301</v>
      </c>
    </row>
    <row r="222" spans="2:16" x14ac:dyDescent="0.3">
      <c r="B222" s="66" t="s">
        <v>66</v>
      </c>
      <c r="C222" s="66">
        <f>C212+1</f>
        <v>22</v>
      </c>
      <c r="D222" s="66" t="s">
        <v>56</v>
      </c>
      <c r="E222" s="66" t="s">
        <v>57</v>
      </c>
      <c r="F222" s="66" t="s">
        <v>69</v>
      </c>
      <c r="G222" s="8">
        <v>167600</v>
      </c>
      <c r="H222" s="8">
        <v>21987</v>
      </c>
      <c r="I222" s="3">
        <v>0.21010000000000001</v>
      </c>
      <c r="J222" s="6">
        <v>102</v>
      </c>
      <c r="K222" s="3">
        <v>4.8499999999999996</v>
      </c>
      <c r="L222" s="3">
        <v>0.09</v>
      </c>
      <c r="M222" s="6">
        <v>6.5</v>
      </c>
      <c r="N222" s="3">
        <v>6.25</v>
      </c>
      <c r="O222" s="3">
        <v>10.52</v>
      </c>
      <c r="P222" s="65">
        <f t="shared" si="5"/>
        <v>12.029335467030119</v>
      </c>
    </row>
    <row r="223" spans="2:16" x14ac:dyDescent="0.3">
      <c r="B223" s="66" t="s">
        <v>181</v>
      </c>
      <c r="C223" s="66">
        <v>23</v>
      </c>
      <c r="D223" s="66" t="s">
        <v>58</v>
      </c>
      <c r="E223" s="66" t="s">
        <v>59</v>
      </c>
      <c r="F223" s="66" t="s">
        <v>59</v>
      </c>
      <c r="G223" s="8">
        <v>3200</v>
      </c>
      <c r="H223" s="8">
        <v>28</v>
      </c>
      <c r="I223" s="3">
        <v>2.8500000000000001E-3</v>
      </c>
      <c r="J223" s="6">
        <v>20.5</v>
      </c>
      <c r="K223" s="3">
        <v>0</v>
      </c>
      <c r="L223" s="3">
        <v>0.14799999999999999</v>
      </c>
      <c r="M223" s="6">
        <v>8</v>
      </c>
      <c r="N223" s="3">
        <v>6.75</v>
      </c>
      <c r="O223" s="3">
        <v>2.41</v>
      </c>
      <c r="P223" s="65">
        <f t="shared" si="5"/>
        <v>8.0709060887878188</v>
      </c>
    </row>
    <row r="224" spans="2:16" x14ac:dyDescent="0.3">
      <c r="B224" s="66" t="s">
        <v>182</v>
      </c>
      <c r="C224" s="66">
        <v>23</v>
      </c>
      <c r="D224" s="66" t="s">
        <v>58</v>
      </c>
      <c r="E224" s="66" t="s">
        <v>59</v>
      </c>
      <c r="F224" s="66" t="s">
        <v>59</v>
      </c>
      <c r="G224" s="8">
        <v>3800</v>
      </c>
      <c r="H224" s="8">
        <v>18</v>
      </c>
      <c r="I224" s="6">
        <v>1.82E-3</v>
      </c>
      <c r="J224" s="6">
        <v>22.5</v>
      </c>
      <c r="K224" s="6">
        <v>0</v>
      </c>
      <c r="L224" s="6">
        <v>0.155</v>
      </c>
      <c r="M224" s="6">
        <v>8.3000000000000007</v>
      </c>
      <c r="N224" s="6">
        <v>6.25</v>
      </c>
      <c r="O224" s="6">
        <v>2.74</v>
      </c>
      <c r="P224" s="74">
        <f t="shared" si="5"/>
        <v>8.2427563457144775</v>
      </c>
    </row>
    <row r="225" spans="2:16" x14ac:dyDescent="0.3">
      <c r="B225" s="66" t="s">
        <v>183</v>
      </c>
      <c r="C225" s="66">
        <v>23</v>
      </c>
      <c r="D225" s="66" t="s">
        <v>58</v>
      </c>
      <c r="E225" s="66" t="s">
        <v>59</v>
      </c>
      <c r="F225" s="66" t="s">
        <v>59</v>
      </c>
      <c r="G225" s="8">
        <v>4200</v>
      </c>
      <c r="H225" s="8">
        <v>22</v>
      </c>
      <c r="I225" s="6">
        <v>2.1800000000000001E-3</v>
      </c>
      <c r="J225" s="6">
        <v>24.5</v>
      </c>
      <c r="K225" s="6">
        <v>0</v>
      </c>
      <c r="L225" s="6">
        <v>0.158</v>
      </c>
      <c r="M225" s="6">
        <v>6.8</v>
      </c>
      <c r="N225" s="6">
        <v>6</v>
      </c>
      <c r="O225" s="6">
        <v>3.09</v>
      </c>
      <c r="P225" s="74">
        <f t="shared" si="5"/>
        <v>8.3428398042714598</v>
      </c>
    </row>
    <row r="226" spans="2:16" x14ac:dyDescent="0.3">
      <c r="B226" s="66" t="s">
        <v>184</v>
      </c>
      <c r="C226" s="66">
        <v>23</v>
      </c>
      <c r="D226" s="66" t="s">
        <v>58</v>
      </c>
      <c r="E226" s="66" t="s">
        <v>59</v>
      </c>
      <c r="F226" s="66" t="s">
        <v>59</v>
      </c>
      <c r="G226" s="8">
        <v>4500</v>
      </c>
      <c r="H226" s="8">
        <v>25</v>
      </c>
      <c r="I226" s="6">
        <v>2.4499999999999999E-3</v>
      </c>
      <c r="J226" s="6">
        <v>23.8</v>
      </c>
      <c r="K226" s="6">
        <v>0</v>
      </c>
      <c r="L226" s="6">
        <v>0.155</v>
      </c>
      <c r="M226" s="6">
        <v>6.5</v>
      </c>
      <c r="N226" s="6">
        <v>6.25</v>
      </c>
      <c r="O226" s="6">
        <v>3.36</v>
      </c>
      <c r="P226" s="74">
        <f t="shared" si="5"/>
        <v>8.4118326757584114</v>
      </c>
    </row>
    <row r="227" spans="2:16" x14ac:dyDescent="0.3">
      <c r="B227" s="66" t="s">
        <v>185</v>
      </c>
      <c r="C227" s="66">
        <v>23</v>
      </c>
      <c r="D227" s="66" t="s">
        <v>58</v>
      </c>
      <c r="E227" s="66" t="s">
        <v>59</v>
      </c>
      <c r="F227" s="66" t="s">
        <v>59</v>
      </c>
      <c r="G227" s="8">
        <v>3200</v>
      </c>
      <c r="H227" s="8">
        <v>20</v>
      </c>
      <c r="I227" s="6">
        <v>1.98E-3</v>
      </c>
      <c r="J227" s="6">
        <v>20.5</v>
      </c>
      <c r="K227" s="6">
        <v>0</v>
      </c>
      <c r="L227" s="6">
        <v>0.13800000000000001</v>
      </c>
      <c r="M227" s="6">
        <v>4</v>
      </c>
      <c r="N227" s="6">
        <v>5.15</v>
      </c>
      <c r="O227" s="6">
        <v>3.36</v>
      </c>
      <c r="P227" s="74">
        <f t="shared" si="5"/>
        <v>8.0709060887878188</v>
      </c>
    </row>
    <row r="228" spans="2:16" x14ac:dyDescent="0.3">
      <c r="B228" s="66" t="s">
        <v>186</v>
      </c>
      <c r="C228" s="66">
        <v>23</v>
      </c>
      <c r="D228" s="66" t="s">
        <v>58</v>
      </c>
      <c r="E228" s="66" t="s">
        <v>59</v>
      </c>
      <c r="F228" s="66" t="s">
        <v>59</v>
      </c>
      <c r="G228" s="8">
        <v>3800</v>
      </c>
      <c r="H228" s="8">
        <v>18</v>
      </c>
      <c r="I228" s="6">
        <v>1.7799999999999999E-3</v>
      </c>
      <c r="J228" s="6">
        <v>22.5</v>
      </c>
      <c r="K228" s="6">
        <v>0</v>
      </c>
      <c r="L228" s="6">
        <v>0.14199999999999999</v>
      </c>
      <c r="M228" s="61">
        <v>7.3</v>
      </c>
      <c r="N228" s="6">
        <v>4</v>
      </c>
      <c r="O228" s="6">
        <v>4.3899999999999997</v>
      </c>
      <c r="P228" s="74">
        <f t="shared" si="5"/>
        <v>8.2427563457144775</v>
      </c>
    </row>
    <row r="229" spans="2:16" x14ac:dyDescent="0.3">
      <c r="B229" s="66" t="s">
        <v>14</v>
      </c>
      <c r="C229" s="66">
        <f>C219+1</f>
        <v>23</v>
      </c>
      <c r="D229" s="66" t="s">
        <v>58</v>
      </c>
      <c r="E229" s="66" t="s">
        <v>59</v>
      </c>
      <c r="F229" s="66" t="s">
        <v>59</v>
      </c>
      <c r="G229" s="8">
        <f>48.34*78.6</f>
        <v>3799.5239999999999</v>
      </c>
      <c r="H229" s="8">
        <v>0</v>
      </c>
      <c r="I229" s="6">
        <v>0</v>
      </c>
      <c r="J229" s="6">
        <v>19.600000000000001</v>
      </c>
      <c r="K229" s="6">
        <v>0</v>
      </c>
      <c r="L229" s="6">
        <v>0.15</v>
      </c>
      <c r="M229" s="6">
        <v>8.6999999999999993</v>
      </c>
      <c r="N229" s="6">
        <v>4</v>
      </c>
      <c r="O229" s="6">
        <v>5.54</v>
      </c>
      <c r="P229" s="74">
        <f t="shared" si="5"/>
        <v>8.2426310747104985</v>
      </c>
    </row>
    <row r="230" spans="2:16" x14ac:dyDescent="0.3">
      <c r="B230" s="66" t="s">
        <v>64</v>
      </c>
      <c r="C230" s="66">
        <f>C220+1</f>
        <v>23</v>
      </c>
      <c r="D230" s="66" t="s">
        <v>58</v>
      </c>
      <c r="E230" s="66" t="s">
        <v>59</v>
      </c>
      <c r="F230" s="66" t="s">
        <v>59</v>
      </c>
      <c r="G230" s="8">
        <f>48.34*116.45</f>
        <v>5629.1930000000002</v>
      </c>
      <c r="H230" s="8">
        <v>0</v>
      </c>
      <c r="I230" s="6">
        <v>0</v>
      </c>
      <c r="J230" s="6">
        <v>18.8</v>
      </c>
      <c r="K230" s="6">
        <v>0</v>
      </c>
      <c r="L230" s="6">
        <v>0.21</v>
      </c>
      <c r="M230" s="6">
        <v>7.2</v>
      </c>
      <c r="N230" s="6">
        <v>6.5</v>
      </c>
      <c r="O230" s="6">
        <v>7.5</v>
      </c>
      <c r="P230" s="74">
        <f t="shared" si="5"/>
        <v>8.6357213716056869</v>
      </c>
    </row>
    <row r="231" spans="2:16" x14ac:dyDescent="0.3">
      <c r="B231" s="66" t="s">
        <v>65</v>
      </c>
      <c r="C231" s="66">
        <f>C221+1</f>
        <v>23</v>
      </c>
      <c r="D231" s="66" t="s">
        <v>58</v>
      </c>
      <c r="E231" s="66" t="s">
        <v>59</v>
      </c>
      <c r="F231" s="66" t="s">
        <v>59</v>
      </c>
      <c r="G231" s="8">
        <f>48.34*215</f>
        <v>10393.1</v>
      </c>
      <c r="H231" s="8">
        <v>0</v>
      </c>
      <c r="I231" s="6">
        <v>0</v>
      </c>
      <c r="J231" s="6">
        <v>27.6</v>
      </c>
      <c r="K231" s="6">
        <v>0</v>
      </c>
      <c r="L231" s="6">
        <v>0.25</v>
      </c>
      <c r="M231" s="6">
        <v>8.1999999999999993</v>
      </c>
      <c r="N231" s="6">
        <v>6.5</v>
      </c>
      <c r="O231" s="6">
        <v>10</v>
      </c>
      <c r="P231" s="74">
        <f t="shared" si="5"/>
        <v>9.2488974034029994</v>
      </c>
    </row>
    <row r="232" spans="2:16" x14ac:dyDescent="0.3">
      <c r="B232" s="66" t="s">
        <v>66</v>
      </c>
      <c r="C232" s="66">
        <f>C222+1</f>
        <v>23</v>
      </c>
      <c r="D232" s="66" t="s">
        <v>58</v>
      </c>
      <c r="E232" s="66" t="s">
        <v>59</v>
      </c>
      <c r="F232" s="66" t="s">
        <v>59</v>
      </c>
      <c r="G232" s="8">
        <f>48.34*138.09</f>
        <v>6675.2706000000007</v>
      </c>
      <c r="H232" s="8">
        <v>0.25</v>
      </c>
      <c r="I232" s="6">
        <f>H232/(1274.4+52.56+82.73+1.808+0.25+83)</f>
        <v>1.672522726238804E-4</v>
      </c>
      <c r="J232" s="6">
        <v>17.100000000000001</v>
      </c>
      <c r="K232" s="6">
        <v>0</v>
      </c>
      <c r="L232" s="6">
        <v>0.25</v>
      </c>
      <c r="M232" s="6">
        <v>6.5</v>
      </c>
      <c r="N232" s="6">
        <v>6.25</v>
      </c>
      <c r="O232" s="6">
        <v>10.52</v>
      </c>
      <c r="P232" s="74">
        <f t="shared" si="5"/>
        <v>8.8061650217725962</v>
      </c>
    </row>
    <row r="233" spans="2:16" x14ac:dyDescent="0.3">
      <c r="B233" s="66" t="s">
        <v>181</v>
      </c>
      <c r="C233" s="66">
        <v>24</v>
      </c>
      <c r="D233" s="66" t="s">
        <v>60</v>
      </c>
      <c r="E233" s="66" t="s">
        <v>61</v>
      </c>
      <c r="F233" s="66" t="s">
        <v>73</v>
      </c>
      <c r="G233" s="8">
        <v>2800</v>
      </c>
      <c r="H233" s="8">
        <v>480</v>
      </c>
      <c r="I233" s="6">
        <v>6.88E-2</v>
      </c>
      <c r="J233" s="6">
        <v>35.5</v>
      </c>
      <c r="K233" s="6">
        <v>0.52</v>
      </c>
      <c r="L233" s="6">
        <v>0.14799999999999999</v>
      </c>
      <c r="M233" s="6">
        <v>8</v>
      </c>
      <c r="N233" s="6">
        <v>6.75</v>
      </c>
      <c r="O233" s="6">
        <v>2.41</v>
      </c>
      <c r="P233" s="74">
        <f t="shared" si="5"/>
        <v>7.9373746961632952</v>
      </c>
    </row>
    <row r="234" spans="2:16" x14ac:dyDescent="0.3">
      <c r="B234" s="66" t="s">
        <v>182</v>
      </c>
      <c r="C234" s="66">
        <v>24</v>
      </c>
      <c r="D234" s="66" t="s">
        <v>60</v>
      </c>
      <c r="E234" s="66" t="s">
        <v>61</v>
      </c>
      <c r="F234" s="66" t="s">
        <v>73</v>
      </c>
      <c r="G234" s="8">
        <v>5200</v>
      </c>
      <c r="H234" s="8">
        <v>620</v>
      </c>
      <c r="I234" s="6">
        <v>7.8200000000000006E-2</v>
      </c>
      <c r="J234" s="6">
        <v>45.5</v>
      </c>
      <c r="K234" s="6">
        <v>0.48</v>
      </c>
      <c r="L234" s="6">
        <v>0.158</v>
      </c>
      <c r="M234" s="6">
        <v>8.3000000000000007</v>
      </c>
      <c r="N234" s="6">
        <v>6.25</v>
      </c>
      <c r="O234" s="6">
        <v>2.74</v>
      </c>
      <c r="P234" s="74">
        <f t="shared" si="5"/>
        <v>8.5564139045695189</v>
      </c>
    </row>
    <row r="235" spans="2:16" x14ac:dyDescent="0.3">
      <c r="B235" s="66" t="s">
        <v>183</v>
      </c>
      <c r="C235" s="66">
        <v>24</v>
      </c>
      <c r="D235" s="66" t="s">
        <v>60</v>
      </c>
      <c r="E235" s="66" t="s">
        <v>61</v>
      </c>
      <c r="F235" s="66" t="s">
        <v>73</v>
      </c>
      <c r="G235" s="8">
        <v>12000</v>
      </c>
      <c r="H235" s="8">
        <v>780</v>
      </c>
      <c r="I235" s="6">
        <v>8.8499999999999995E-2</v>
      </c>
      <c r="J235" s="6">
        <v>65.5</v>
      </c>
      <c r="K235" s="6">
        <v>0.45</v>
      </c>
      <c r="L235" s="6">
        <v>0.16800000000000001</v>
      </c>
      <c r="M235" s="6">
        <v>6.8</v>
      </c>
      <c r="N235" s="6">
        <v>6</v>
      </c>
      <c r="O235" s="6">
        <v>3.09</v>
      </c>
      <c r="P235" s="74">
        <f t="shared" si="5"/>
        <v>9.3926619287701367</v>
      </c>
    </row>
    <row r="236" spans="2:16" x14ac:dyDescent="0.3">
      <c r="B236" s="66" t="s">
        <v>184</v>
      </c>
      <c r="C236" s="66">
        <v>24</v>
      </c>
      <c r="D236" s="66" t="s">
        <v>60</v>
      </c>
      <c r="E236" s="66" t="s">
        <v>61</v>
      </c>
      <c r="F236" s="66" t="s">
        <v>73</v>
      </c>
      <c r="G236" s="8">
        <v>42000</v>
      </c>
      <c r="H236" s="8">
        <v>920</v>
      </c>
      <c r="I236" s="6">
        <v>9.8500000000000004E-2</v>
      </c>
      <c r="J236" s="6">
        <v>95.5</v>
      </c>
      <c r="K236" s="6">
        <v>0.42</v>
      </c>
      <c r="L236" s="6">
        <v>0.17799999999999999</v>
      </c>
      <c r="M236" s="6">
        <v>6.5</v>
      </c>
      <c r="N236" s="6">
        <v>6.25</v>
      </c>
      <c r="O236" s="6">
        <v>3.36</v>
      </c>
      <c r="P236" s="74">
        <f t="shared" si="5"/>
        <v>10.645424897265505</v>
      </c>
    </row>
    <row r="237" spans="2:16" x14ac:dyDescent="0.3">
      <c r="B237" s="66" t="s">
        <v>185</v>
      </c>
      <c r="C237" s="66">
        <v>24</v>
      </c>
      <c r="D237" s="66" t="s">
        <v>60</v>
      </c>
      <c r="E237" s="66" t="s">
        <v>61</v>
      </c>
      <c r="F237" s="66" t="s">
        <v>73</v>
      </c>
      <c r="G237" s="8">
        <v>45000</v>
      </c>
      <c r="H237" s="8">
        <v>1050</v>
      </c>
      <c r="I237" s="6">
        <v>0.1052</v>
      </c>
      <c r="J237" s="6">
        <v>115.5</v>
      </c>
      <c r="K237" s="6">
        <v>0.42</v>
      </c>
      <c r="L237" s="6">
        <v>0.185</v>
      </c>
      <c r="M237" s="6">
        <v>4</v>
      </c>
      <c r="N237" s="6">
        <v>5.15</v>
      </c>
      <c r="O237" s="6">
        <v>3.36</v>
      </c>
      <c r="P237" s="74">
        <f t="shared" si="5"/>
        <v>10.714417768752456</v>
      </c>
    </row>
    <row r="238" spans="2:16" x14ac:dyDescent="0.3">
      <c r="B238" s="66" t="s">
        <v>186</v>
      </c>
      <c r="C238" s="66">
        <v>24</v>
      </c>
      <c r="D238" s="66" t="s">
        <v>60</v>
      </c>
      <c r="E238" s="66" t="s">
        <v>61</v>
      </c>
      <c r="F238" s="66" t="s">
        <v>73</v>
      </c>
      <c r="G238" s="8">
        <v>98000</v>
      </c>
      <c r="H238" s="8">
        <v>1120</v>
      </c>
      <c r="I238" s="6">
        <v>0.1125</v>
      </c>
      <c r="J238" s="6">
        <v>180</v>
      </c>
      <c r="K238" s="6">
        <v>0.41</v>
      </c>
      <c r="L238" s="6">
        <v>0.19500000000000001</v>
      </c>
      <c r="M238" s="61">
        <v>7.3</v>
      </c>
      <c r="N238" s="6">
        <v>4</v>
      </c>
      <c r="O238" s="6">
        <v>4.3899999999999997</v>
      </c>
      <c r="P238" s="74">
        <f t="shared" si="5"/>
        <v>11.492722757652709</v>
      </c>
    </row>
    <row r="239" spans="2:16" x14ac:dyDescent="0.3">
      <c r="B239" s="66" t="s">
        <v>14</v>
      </c>
      <c r="C239" s="66">
        <f>C229+1</f>
        <v>24</v>
      </c>
      <c r="D239" s="66" t="s">
        <v>60</v>
      </c>
      <c r="E239" s="66" t="s">
        <v>61</v>
      </c>
      <c r="F239" s="66" t="s">
        <v>73</v>
      </c>
      <c r="G239" s="8">
        <f>109.98*2249</f>
        <v>247345.02000000002</v>
      </c>
      <c r="H239" s="8">
        <v>1200</v>
      </c>
      <c r="I239" s="6">
        <f>H239/7599</f>
        <v>0.15791551519936833</v>
      </c>
      <c r="J239" s="6">
        <v>430.1</v>
      </c>
      <c r="K239" s="6">
        <v>0.41</v>
      </c>
      <c r="L239" s="6">
        <v>0.25</v>
      </c>
      <c r="M239" s="6">
        <v>8.6999999999999993</v>
      </c>
      <c r="N239" s="6">
        <v>4</v>
      </c>
      <c r="O239" s="6">
        <v>5.54</v>
      </c>
      <c r="P239" s="74">
        <f t="shared" si="5"/>
        <v>12.418539483038984</v>
      </c>
    </row>
    <row r="240" spans="2:16" x14ac:dyDescent="0.3">
      <c r="B240" s="66" t="s">
        <v>64</v>
      </c>
      <c r="C240" s="66">
        <f>C230+1</f>
        <v>24</v>
      </c>
      <c r="D240" s="66" t="s">
        <v>60</v>
      </c>
      <c r="E240" s="66" t="s">
        <v>61</v>
      </c>
      <c r="F240" s="66" t="s">
        <v>73</v>
      </c>
      <c r="G240" s="8">
        <f>109.98*867.75</f>
        <v>95435.145000000004</v>
      </c>
      <c r="H240" s="8">
        <v>1150</v>
      </c>
      <c r="I240" s="6">
        <f>H240/6524</f>
        <v>0.1762722256284488</v>
      </c>
      <c r="J240" s="6">
        <v>180</v>
      </c>
      <c r="K240" s="6">
        <v>0.47</v>
      </c>
      <c r="L240" s="6">
        <v>0.21</v>
      </c>
      <c r="M240" s="6">
        <v>7.2</v>
      </c>
      <c r="N240" s="6">
        <v>6.5</v>
      </c>
      <c r="O240" s="6">
        <v>7.5</v>
      </c>
      <c r="P240" s="74">
        <f t="shared" si="5"/>
        <v>11.466202185821563</v>
      </c>
    </row>
    <row r="241" spans="2:20" x14ac:dyDescent="0.3">
      <c r="B241" s="66" t="s">
        <v>65</v>
      </c>
      <c r="C241" s="66">
        <f>C231+1</f>
        <v>24</v>
      </c>
      <c r="D241" s="66" t="s">
        <v>60</v>
      </c>
      <c r="E241" s="66" t="s">
        <v>61</v>
      </c>
      <c r="F241" s="66" t="s">
        <v>73</v>
      </c>
      <c r="G241" s="8">
        <f>109.98*928</f>
        <v>102061.44</v>
      </c>
      <c r="H241" s="8">
        <v>689</v>
      </c>
      <c r="I241" s="6">
        <f>H241/5636</f>
        <v>0.12224982256919802</v>
      </c>
      <c r="J241" s="6">
        <v>170.6</v>
      </c>
      <c r="K241" s="6">
        <v>0.41</v>
      </c>
      <c r="L241" s="6">
        <v>0.21</v>
      </c>
      <c r="M241" s="6">
        <v>8.1999999999999993</v>
      </c>
      <c r="N241" s="6">
        <v>6.5</v>
      </c>
      <c r="O241" s="6">
        <v>10</v>
      </c>
      <c r="P241" s="74">
        <f t="shared" si="5"/>
        <v>11.533330263865869</v>
      </c>
    </row>
    <row r="242" spans="2:20" x14ac:dyDescent="0.3">
      <c r="B242" s="66" t="s">
        <v>66</v>
      </c>
      <c r="C242" s="66">
        <f>C232+1</f>
        <v>24</v>
      </c>
      <c r="D242" s="66" t="s">
        <v>60</v>
      </c>
      <c r="E242" s="66" t="s">
        <v>61</v>
      </c>
      <c r="F242" s="66" t="s">
        <v>73</v>
      </c>
      <c r="G242" s="8">
        <f>109.98*602</f>
        <v>66207.960000000006</v>
      </c>
      <c r="H242" s="8">
        <v>835</v>
      </c>
      <c r="I242" s="6">
        <f>H242/4429</f>
        <v>0.18853014224429893</v>
      </c>
      <c r="J242" s="6">
        <v>99.3</v>
      </c>
      <c r="K242" s="6">
        <v>0.42</v>
      </c>
      <c r="L242" s="6">
        <v>0.17</v>
      </c>
      <c r="M242" s="6">
        <v>6.5</v>
      </c>
      <c r="N242" s="6">
        <v>6.25</v>
      </c>
      <c r="O242" s="6">
        <v>10.52</v>
      </c>
      <c r="P242" s="74">
        <f t="shared" si="5"/>
        <v>11.10055597638849</v>
      </c>
    </row>
    <row r="243" spans="2:20" x14ac:dyDescent="0.3">
      <c r="B243" s="66" t="s">
        <v>181</v>
      </c>
      <c r="C243" s="66">
        <v>25</v>
      </c>
      <c r="D243" s="66" t="s">
        <v>62</v>
      </c>
      <c r="E243" s="66" t="s">
        <v>63</v>
      </c>
      <c r="F243" s="66" t="s">
        <v>73</v>
      </c>
      <c r="G243" s="8">
        <v>35000</v>
      </c>
      <c r="H243" s="8">
        <v>1850</v>
      </c>
      <c r="I243" s="6">
        <v>4.4200000000000003E-2</v>
      </c>
      <c r="J243" s="6">
        <v>22.5</v>
      </c>
      <c r="K243" s="6">
        <v>0</v>
      </c>
      <c r="L243" s="6">
        <v>0.215</v>
      </c>
      <c r="M243" s="6">
        <v>8</v>
      </c>
      <c r="N243" s="6">
        <v>6.75</v>
      </c>
      <c r="O243" s="6">
        <v>2.41</v>
      </c>
      <c r="P243" s="74">
        <f t="shared" si="5"/>
        <v>10.46310334047155</v>
      </c>
    </row>
    <row r="244" spans="2:20" x14ac:dyDescent="0.3">
      <c r="B244" s="66" t="s">
        <v>182</v>
      </c>
      <c r="C244" s="66">
        <v>25</v>
      </c>
      <c r="D244" s="66" t="s">
        <v>62</v>
      </c>
      <c r="E244" s="66" t="s">
        <v>63</v>
      </c>
      <c r="F244" s="66" t="s">
        <v>73</v>
      </c>
      <c r="G244" s="8">
        <v>38000</v>
      </c>
      <c r="H244" s="8">
        <v>2050</v>
      </c>
      <c r="I244" s="6">
        <v>4.6800000000000001E-2</v>
      </c>
      <c r="J244" s="6">
        <v>24.5</v>
      </c>
      <c r="K244" s="6">
        <v>0</v>
      </c>
      <c r="L244" s="6">
        <v>0.22500000000000001</v>
      </c>
      <c r="M244" s="6">
        <v>8.3000000000000007</v>
      </c>
      <c r="N244" s="6">
        <v>6.25</v>
      </c>
      <c r="O244" s="6">
        <v>2.74</v>
      </c>
      <c r="P244" s="74">
        <f t="shared" si="5"/>
        <v>10.545341438708522</v>
      </c>
      <c r="T244" s="1"/>
    </row>
    <row r="245" spans="2:20" x14ac:dyDescent="0.3">
      <c r="B245" s="66" t="s">
        <v>183</v>
      </c>
      <c r="C245" s="66">
        <v>25</v>
      </c>
      <c r="D245" s="66" t="s">
        <v>62</v>
      </c>
      <c r="E245" s="66" t="s">
        <v>63</v>
      </c>
      <c r="F245" s="66" t="s">
        <v>73</v>
      </c>
      <c r="G245" s="8">
        <v>42000</v>
      </c>
      <c r="H245" s="8">
        <v>2250</v>
      </c>
      <c r="I245" s="6">
        <v>4.9500000000000002E-2</v>
      </c>
      <c r="J245" s="6">
        <v>23.8</v>
      </c>
      <c r="K245" s="6">
        <v>0</v>
      </c>
      <c r="L245" s="6">
        <v>0.23200000000000001</v>
      </c>
      <c r="M245" s="6">
        <v>6.8</v>
      </c>
      <c r="N245" s="6">
        <v>6</v>
      </c>
      <c r="O245" s="6">
        <v>3.09</v>
      </c>
      <c r="P245" s="74">
        <f t="shared" si="5"/>
        <v>10.645424897265505</v>
      </c>
    </row>
    <row r="246" spans="2:20" x14ac:dyDescent="0.3">
      <c r="B246" s="66" t="s">
        <v>184</v>
      </c>
      <c r="C246" s="66">
        <v>25</v>
      </c>
      <c r="D246" s="66" t="s">
        <v>62</v>
      </c>
      <c r="E246" s="66" t="s">
        <v>63</v>
      </c>
      <c r="F246" s="66" t="s">
        <v>73</v>
      </c>
      <c r="G246" s="8">
        <v>48000</v>
      </c>
      <c r="H246" s="8">
        <v>2450</v>
      </c>
      <c r="I246" s="6">
        <v>5.2200000000000003E-2</v>
      </c>
      <c r="J246" s="6">
        <v>22.5</v>
      </c>
      <c r="K246" s="6">
        <v>0</v>
      </c>
      <c r="L246" s="6">
        <v>0.24199999999999999</v>
      </c>
      <c r="M246" s="6">
        <v>6.5</v>
      </c>
      <c r="N246" s="6">
        <v>6.25</v>
      </c>
      <c r="O246" s="6">
        <v>3.36</v>
      </c>
      <c r="P246" s="74">
        <f t="shared" si="5"/>
        <v>10.778956289890028</v>
      </c>
    </row>
    <row r="247" spans="2:20" x14ac:dyDescent="0.3">
      <c r="B247" s="66" t="s">
        <v>185</v>
      </c>
      <c r="C247" s="66">
        <v>25</v>
      </c>
      <c r="D247" s="66" t="s">
        <v>62</v>
      </c>
      <c r="E247" s="66" t="s">
        <v>63</v>
      </c>
      <c r="F247" s="66" t="s">
        <v>73</v>
      </c>
      <c r="G247" s="8">
        <v>38000</v>
      </c>
      <c r="H247" s="8">
        <v>2620</v>
      </c>
      <c r="I247" s="6">
        <v>5.4800000000000001E-2</v>
      </c>
      <c r="J247" s="6">
        <v>19.5</v>
      </c>
      <c r="K247" s="6">
        <v>0.42</v>
      </c>
      <c r="L247" s="6">
        <v>0.218</v>
      </c>
      <c r="M247" s="6">
        <v>4</v>
      </c>
      <c r="N247" s="6">
        <v>5.15</v>
      </c>
      <c r="O247" s="6">
        <v>3.36</v>
      </c>
      <c r="P247" s="74">
        <f t="shared" si="5"/>
        <v>10.545341438708522</v>
      </c>
    </row>
    <row r="248" spans="2:20" x14ac:dyDescent="0.3">
      <c r="B248" s="66" t="s">
        <v>186</v>
      </c>
      <c r="C248" s="66">
        <v>25</v>
      </c>
      <c r="D248" s="66" t="s">
        <v>62</v>
      </c>
      <c r="E248" s="66" t="s">
        <v>63</v>
      </c>
      <c r="F248" s="66" t="s">
        <v>73</v>
      </c>
      <c r="G248" s="8">
        <v>42000</v>
      </c>
      <c r="H248" s="8">
        <v>2780</v>
      </c>
      <c r="I248" s="6">
        <v>5.62E-2</v>
      </c>
      <c r="J248" s="6">
        <v>16.5</v>
      </c>
      <c r="K248" s="6">
        <v>0.85</v>
      </c>
      <c r="L248" s="6">
        <v>0.222</v>
      </c>
      <c r="M248" s="61">
        <v>7.3</v>
      </c>
      <c r="N248" s="6">
        <v>4</v>
      </c>
      <c r="O248" s="6">
        <v>4.3899999999999997</v>
      </c>
      <c r="P248" s="74">
        <f t="shared" si="5"/>
        <v>10.645424897265505</v>
      </c>
    </row>
    <row r="249" spans="2:20" x14ac:dyDescent="0.3">
      <c r="B249" s="66" t="s">
        <v>14</v>
      </c>
      <c r="C249" s="66">
        <f>C239+1</f>
        <v>25</v>
      </c>
      <c r="D249" s="66" t="s">
        <v>62</v>
      </c>
      <c r="E249" s="66" t="s">
        <v>63</v>
      </c>
      <c r="F249" s="66" t="s">
        <v>73</v>
      </c>
      <c r="G249" s="8">
        <f>59800</f>
        <v>59800</v>
      </c>
      <c r="H249" s="8">
        <v>2928.7</v>
      </c>
      <c r="I249" s="6">
        <f>H249/47968</f>
        <v>6.1055286857905268E-2</v>
      </c>
      <c r="J249" s="6">
        <v>10.1</v>
      </c>
      <c r="K249" s="6">
        <v>1.1399999999999999</v>
      </c>
      <c r="L249" s="6">
        <v>0.25</v>
      </c>
      <c r="M249" s="6">
        <v>8.6999999999999993</v>
      </c>
      <c r="N249" s="6">
        <v>4</v>
      </c>
      <c r="O249" s="6">
        <v>5.54</v>
      </c>
      <c r="P249" s="74">
        <f t="shared" si="5"/>
        <v>10.998760939938723</v>
      </c>
    </row>
    <row r="250" spans="2:20" x14ac:dyDescent="0.3">
      <c r="B250" s="66" t="s">
        <v>64</v>
      </c>
      <c r="C250" s="66">
        <f>C240+1</f>
        <v>25</v>
      </c>
      <c r="D250" s="66" t="s">
        <v>62</v>
      </c>
      <c r="E250" s="66" t="s">
        <v>63</v>
      </c>
      <c r="F250" s="66" t="s">
        <v>73</v>
      </c>
      <c r="G250" s="8">
        <v>38500</v>
      </c>
      <c r="H250" s="8">
        <v>4121</v>
      </c>
      <c r="I250" s="6">
        <f>H250/46572</f>
        <v>8.8486644335652329E-2</v>
      </c>
      <c r="J250" s="6">
        <v>14.1</v>
      </c>
      <c r="K250" s="6">
        <v>0.22</v>
      </c>
      <c r="L250" s="6">
        <v>0.11</v>
      </c>
      <c r="M250" s="6">
        <v>7.2</v>
      </c>
      <c r="N250" s="6">
        <v>6.5</v>
      </c>
      <c r="O250" s="6">
        <v>7.5</v>
      </c>
      <c r="P250" s="74">
        <f t="shared" si="5"/>
        <v>10.558413520275876</v>
      </c>
    </row>
    <row r="251" spans="2:20" x14ac:dyDescent="0.3">
      <c r="B251" s="66" t="s">
        <v>65</v>
      </c>
      <c r="C251" s="66">
        <f>C241+1</f>
        <v>25</v>
      </c>
      <c r="D251" s="66" t="s">
        <v>62</v>
      </c>
      <c r="E251" s="66" t="s">
        <v>63</v>
      </c>
      <c r="F251" s="66" t="s">
        <v>73</v>
      </c>
      <c r="G251" s="8">
        <v>78500</v>
      </c>
      <c r="H251" s="8">
        <v>5967.5</v>
      </c>
      <c r="I251" s="6">
        <f>H251/55868</f>
        <v>0.10681427650891387</v>
      </c>
      <c r="J251" s="6">
        <v>14.1</v>
      </c>
      <c r="K251" s="6">
        <v>0.16</v>
      </c>
      <c r="L251" s="6">
        <v>0.22</v>
      </c>
      <c r="M251" s="6">
        <v>8.1999999999999993</v>
      </c>
      <c r="N251" s="6">
        <v>6.5</v>
      </c>
      <c r="O251" s="6">
        <v>10</v>
      </c>
      <c r="P251" s="74">
        <f t="shared" si="5"/>
        <v>11.270853903770499</v>
      </c>
    </row>
    <row r="252" spans="2:20" ht="15" thickBot="1" x14ac:dyDescent="0.35">
      <c r="B252" s="5" t="s">
        <v>66</v>
      </c>
      <c r="C252" s="66">
        <f>C242+1</f>
        <v>25</v>
      </c>
      <c r="D252" s="5" t="s">
        <v>62</v>
      </c>
      <c r="E252" s="5" t="s">
        <v>63</v>
      </c>
      <c r="F252" s="5" t="s">
        <v>73</v>
      </c>
      <c r="G252" s="9">
        <v>95700</v>
      </c>
      <c r="H252" s="9">
        <v>6869.9</v>
      </c>
      <c r="I252" s="7">
        <f>H252/63168</f>
        <v>0.108756015704154</v>
      </c>
      <c r="J252" s="7">
        <v>8.9</v>
      </c>
      <c r="K252" s="7">
        <v>7.0000000000000007E-2</v>
      </c>
      <c r="L252" s="7">
        <v>0.28999999999999998</v>
      </c>
      <c r="M252" s="7">
        <v>6.5</v>
      </c>
      <c r="N252" s="7">
        <v>6.25</v>
      </c>
      <c r="O252" s="7">
        <v>10.52</v>
      </c>
      <c r="P252" s="74">
        <f t="shared" si="5"/>
        <v>11.468973577441046</v>
      </c>
    </row>
    <row r="259" spans="4:9" x14ac:dyDescent="0.3">
      <c r="D259" s="17"/>
      <c r="E259" s="17"/>
    </row>
    <row r="267" spans="4:9" x14ac:dyDescent="0.3">
      <c r="D267" s="18"/>
      <c r="E267" s="18"/>
      <c r="F267" s="18"/>
      <c r="G267" s="18"/>
      <c r="H267" s="18"/>
      <c r="I267" s="18"/>
    </row>
    <row r="272" spans="4:9" x14ac:dyDescent="0.3">
      <c r="D272" s="18"/>
    </row>
    <row r="274" spans="4:8" x14ac:dyDescent="0.3">
      <c r="D274" s="1"/>
    </row>
    <row r="275" spans="4:8" x14ac:dyDescent="0.3">
      <c r="D275" s="1"/>
    </row>
    <row r="276" spans="4:8" x14ac:dyDescent="0.3">
      <c r="D276" s="1"/>
    </row>
    <row r="278" spans="4:8" x14ac:dyDescent="0.3">
      <c r="D278" s="1"/>
    </row>
    <row r="279" spans="4:8" x14ac:dyDescent="0.3">
      <c r="D279" s="1"/>
    </row>
    <row r="280" spans="4:8" x14ac:dyDescent="0.3">
      <c r="D280" s="1"/>
      <c r="H280" s="19"/>
    </row>
    <row r="281" spans="4:8" x14ac:dyDescent="0.3">
      <c r="D281" s="1"/>
      <c r="H281" s="19"/>
    </row>
    <row r="282" spans="4:8" x14ac:dyDescent="0.3">
      <c r="D282" s="1"/>
      <c r="H282" s="19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740C-2748-4C80-950C-7D5A3D2C68A9}">
  <dimension ref="B1:L60"/>
  <sheetViews>
    <sheetView workbookViewId="0">
      <selection activeCell="H6" sqref="H6"/>
    </sheetView>
  </sheetViews>
  <sheetFormatPr defaultRowHeight="14.4" x14ac:dyDescent="0.3"/>
  <cols>
    <col min="2" max="2" width="18.77734375" customWidth="1"/>
    <col min="3" max="12" width="16" customWidth="1"/>
  </cols>
  <sheetData>
    <row r="1" spans="2:12" ht="15" thickBot="1" x14ac:dyDescent="0.35"/>
    <row r="2" spans="2:12" ht="29.4" thickBot="1" x14ac:dyDescent="0.35">
      <c r="B2" s="85" t="s">
        <v>187</v>
      </c>
      <c r="C2" s="86" t="s">
        <v>4</v>
      </c>
      <c r="D2" s="86" t="s">
        <v>5</v>
      </c>
      <c r="E2" s="86" t="s">
        <v>6</v>
      </c>
      <c r="F2" s="86" t="s">
        <v>7</v>
      </c>
      <c r="G2" s="86" t="s">
        <v>9</v>
      </c>
      <c r="H2" s="87" t="s">
        <v>134</v>
      </c>
      <c r="I2" s="86" t="s">
        <v>10</v>
      </c>
      <c r="J2" s="86" t="s">
        <v>11</v>
      </c>
      <c r="K2" s="86" t="s">
        <v>12</v>
      </c>
      <c r="L2" s="86" t="s">
        <v>13</v>
      </c>
    </row>
    <row r="3" spans="2:12" x14ac:dyDescent="0.3">
      <c r="B3" s="84" t="s">
        <v>75</v>
      </c>
      <c r="C3" s="12">
        <v>48920.809634831996</v>
      </c>
      <c r="D3" s="12">
        <v>3606.6389531999998</v>
      </c>
      <c r="E3" s="12">
        <v>5.821705075524216E-2</v>
      </c>
      <c r="F3" s="12">
        <v>46.920399999999994</v>
      </c>
      <c r="G3" s="12">
        <v>0.89241330604890579</v>
      </c>
      <c r="H3" s="12">
        <v>0.14135600000000006</v>
      </c>
      <c r="I3" s="12">
        <v>5.7600000000000033</v>
      </c>
      <c r="J3" s="12">
        <v>5.7650000000000015</v>
      </c>
      <c r="K3" s="12">
        <v>5.2909999999999959</v>
      </c>
      <c r="L3" s="12">
        <v>9.415650666932148</v>
      </c>
    </row>
    <row r="4" spans="2:12" x14ac:dyDescent="0.3">
      <c r="B4" s="83" t="s">
        <v>76</v>
      </c>
      <c r="C4" s="3">
        <v>5577.2047871036175</v>
      </c>
      <c r="D4" s="3">
        <v>397.6679136028136</v>
      </c>
      <c r="E4" s="3">
        <v>3.293589549718512E-3</v>
      </c>
      <c r="F4" s="3">
        <v>7.701261364332928</v>
      </c>
      <c r="G4" s="3">
        <v>6.3788938109377885E-2</v>
      </c>
      <c r="H4" s="3">
        <v>3.8736994262564988E-3</v>
      </c>
      <c r="I4" s="3">
        <v>0.27344595583597847</v>
      </c>
      <c r="J4" s="3">
        <v>6.1507990795723652E-2</v>
      </c>
      <c r="K4" s="3">
        <v>0.18189132418909207</v>
      </c>
      <c r="L4" s="3">
        <v>0.10791677885356127</v>
      </c>
    </row>
    <row r="5" spans="2:12" x14ac:dyDescent="0.3">
      <c r="B5" s="83" t="s">
        <v>77</v>
      </c>
      <c r="C5" s="3">
        <v>7975.1</v>
      </c>
      <c r="D5" s="3">
        <v>710.5</v>
      </c>
      <c r="E5" s="3">
        <v>4.48E-2</v>
      </c>
      <c r="F5" s="3">
        <v>16.5</v>
      </c>
      <c r="G5" s="3">
        <v>0.57999999999999996</v>
      </c>
      <c r="H5" s="3">
        <v>0.13</v>
      </c>
      <c r="I5" s="3">
        <v>7</v>
      </c>
      <c r="J5" s="3">
        <v>6.25</v>
      </c>
      <c r="K5" s="3">
        <v>3.875</v>
      </c>
      <c r="L5" s="3">
        <v>8.9653872383247695</v>
      </c>
    </row>
    <row r="6" spans="2:12" x14ac:dyDescent="0.3">
      <c r="B6" s="83" t="s">
        <v>78</v>
      </c>
      <c r="C6" s="3">
        <v>2800</v>
      </c>
      <c r="D6" s="3">
        <v>210</v>
      </c>
      <c r="E6" s="3">
        <v>3.4200000000000001E-2</v>
      </c>
      <c r="F6" s="3">
        <v>14.5</v>
      </c>
      <c r="G6" s="3">
        <v>0</v>
      </c>
      <c r="H6" s="3">
        <v>0.13</v>
      </c>
      <c r="I6" s="3">
        <v>6.5</v>
      </c>
      <c r="J6" s="3">
        <v>6.25</v>
      </c>
      <c r="K6" s="3">
        <v>3.36</v>
      </c>
      <c r="L6" s="3">
        <v>7.9374000000000002</v>
      </c>
    </row>
    <row r="7" spans="2:12" x14ac:dyDescent="0.3">
      <c r="B7" s="83" t="s">
        <v>79</v>
      </c>
      <c r="C7" s="3">
        <v>88183.350522209555</v>
      </c>
      <c r="D7" s="3">
        <v>6287.6817967597326</v>
      </c>
      <c r="E7" s="3">
        <v>5.2076223274194408E-2</v>
      </c>
      <c r="F7" s="3">
        <v>121.76763383773935</v>
      </c>
      <c r="G7" s="3">
        <v>1.0085916697457453</v>
      </c>
      <c r="H7" s="3">
        <v>6.1248565789289972E-2</v>
      </c>
      <c r="I7" s="3">
        <v>4.3235601870175202</v>
      </c>
      <c r="J7" s="3">
        <v>0.97252672607579604</v>
      </c>
      <c r="K7" s="3">
        <v>2.8759543553080511</v>
      </c>
      <c r="L7" s="3">
        <v>1.7063140946297408</v>
      </c>
    </row>
    <row r="8" spans="2:12" x14ac:dyDescent="0.3">
      <c r="B8" s="83" t="s">
        <v>80</v>
      </c>
      <c r="C8" s="3">
        <v>7776303309.322875</v>
      </c>
      <c r="D8" s="3">
        <v>39534942.377303705</v>
      </c>
      <c r="E8" s="3">
        <v>2.7119330305037472E-3</v>
      </c>
      <c r="F8" s="3">
        <v>14827.356650441767</v>
      </c>
      <c r="G8" s="3">
        <v>1.0172571562805104</v>
      </c>
      <c r="H8" s="3">
        <v>3.751386811244982E-3</v>
      </c>
      <c r="I8" s="3">
        <v>18.693172690762974</v>
      </c>
      <c r="J8" s="3">
        <v>0.94580823293170646</v>
      </c>
      <c r="K8" s="3">
        <v>8.2711134538153477</v>
      </c>
      <c r="L8" s="3">
        <v>2.911507789532112</v>
      </c>
    </row>
    <row r="9" spans="2:12" x14ac:dyDescent="0.3">
      <c r="B9" s="83" t="s">
        <v>81</v>
      </c>
      <c r="C9" s="3">
        <v>10.019146426958647</v>
      </c>
      <c r="D9" s="3">
        <v>13.642062028474047</v>
      </c>
      <c r="E9" s="3">
        <v>20.096907599332891</v>
      </c>
      <c r="F9" s="3">
        <v>25.105943953737601</v>
      </c>
      <c r="G9" s="3">
        <v>4.2381537000371505</v>
      </c>
      <c r="H9" s="3">
        <v>0.85839027669826917</v>
      </c>
      <c r="I9" s="3">
        <v>3.8895263718332731</v>
      </c>
      <c r="J9" s="3">
        <v>-0.59370613460239108</v>
      </c>
      <c r="K9" s="3">
        <v>-0.89214548387194537</v>
      </c>
      <c r="L9" s="3">
        <v>-0.91169742837527368</v>
      </c>
    </row>
    <row r="10" spans="2:12" x14ac:dyDescent="0.3">
      <c r="B10" s="83" t="s">
        <v>82</v>
      </c>
      <c r="C10" s="3">
        <v>2.9215142784183792</v>
      </c>
      <c r="D10" s="3">
        <v>3.1312090051728005</v>
      </c>
      <c r="E10" s="3">
        <v>3.4230923380897331</v>
      </c>
      <c r="F10" s="3">
        <v>5.0423030141573841</v>
      </c>
      <c r="G10" s="3">
        <v>1.9773973828404303</v>
      </c>
      <c r="H10" s="3">
        <v>0.94245316451038241</v>
      </c>
      <c r="I10" s="3">
        <v>-2.2806647770973174</v>
      </c>
      <c r="J10" s="3">
        <v>-1.0039795397913127</v>
      </c>
      <c r="K10" s="3">
        <v>0.81642154517407783</v>
      </c>
      <c r="L10" s="3">
        <v>0.39236829621195407</v>
      </c>
    </row>
    <row r="11" spans="2:12" x14ac:dyDescent="0.3">
      <c r="B11" s="83" t="s">
        <v>83</v>
      </c>
      <c r="C11" s="3">
        <v>555880</v>
      </c>
      <c r="D11" s="3">
        <v>48594</v>
      </c>
      <c r="E11" s="3">
        <v>0.48122721728340384</v>
      </c>
      <c r="F11" s="3">
        <v>719.8</v>
      </c>
      <c r="G11" s="3">
        <v>4.8499999999999996</v>
      </c>
      <c r="H11" s="3">
        <v>0.35200000000000004</v>
      </c>
      <c r="I11" s="3">
        <v>15.299999999999999</v>
      </c>
      <c r="J11" s="3">
        <v>2.75</v>
      </c>
      <c r="K11" s="3">
        <v>8.11</v>
      </c>
      <c r="L11" s="3">
        <v>7.1887629960633852</v>
      </c>
    </row>
    <row r="12" spans="2:12" x14ac:dyDescent="0.3">
      <c r="B12" s="83" t="s">
        <v>84</v>
      </c>
      <c r="C12" s="3">
        <v>420</v>
      </c>
      <c r="D12" s="3">
        <v>0</v>
      </c>
      <c r="E12" s="3">
        <v>0</v>
      </c>
      <c r="F12" s="3">
        <v>5.2</v>
      </c>
      <c r="G12" s="3">
        <v>0</v>
      </c>
      <c r="H12" s="3">
        <v>4.8000000000000001E-2</v>
      </c>
      <c r="I12" s="3">
        <v>-6.6</v>
      </c>
      <c r="J12" s="3">
        <v>4</v>
      </c>
      <c r="K12" s="3">
        <v>2.41</v>
      </c>
      <c r="L12" s="3">
        <v>6.0403000000000002</v>
      </c>
    </row>
    <row r="13" spans="2:12" x14ac:dyDescent="0.3">
      <c r="B13" s="83" t="s">
        <v>85</v>
      </c>
      <c r="C13" s="3">
        <v>556300</v>
      </c>
      <c r="D13" s="3">
        <v>48594</v>
      </c>
      <c r="E13" s="3">
        <v>0.48122721728340384</v>
      </c>
      <c r="F13" s="3">
        <v>725</v>
      </c>
      <c r="G13" s="3">
        <v>4.8499999999999996</v>
      </c>
      <c r="H13" s="3">
        <v>0.4</v>
      </c>
      <c r="I13" s="3">
        <v>8.6999999999999993</v>
      </c>
      <c r="J13" s="3">
        <v>6.75</v>
      </c>
      <c r="K13" s="3">
        <v>10.52</v>
      </c>
      <c r="L13" s="3">
        <v>13.229062996063385</v>
      </c>
    </row>
    <row r="14" spans="2:12" x14ac:dyDescent="0.3">
      <c r="B14" s="83" t="s">
        <v>86</v>
      </c>
      <c r="C14" s="3">
        <v>12230202.408707999</v>
      </c>
      <c r="D14" s="3">
        <v>901659.73829999997</v>
      </c>
      <c r="E14" s="3">
        <v>14.554262688810541</v>
      </c>
      <c r="F14" s="3">
        <v>11730.099999999999</v>
      </c>
      <c r="G14" s="3">
        <v>223.10332651222646</v>
      </c>
      <c r="H14" s="3">
        <v>35.339000000000013</v>
      </c>
      <c r="I14" s="3">
        <v>1440.0000000000009</v>
      </c>
      <c r="J14" s="3">
        <v>1441.2500000000005</v>
      </c>
      <c r="K14" s="3">
        <v>1322.7499999999991</v>
      </c>
      <c r="L14" s="3">
        <v>2353.912666733037</v>
      </c>
    </row>
    <row r="15" spans="2:12" ht="15" thickBot="1" x14ac:dyDescent="0.35">
      <c r="B15" s="14" t="s">
        <v>87</v>
      </c>
      <c r="C15" s="4">
        <v>250</v>
      </c>
      <c r="D15" s="4">
        <v>250</v>
      </c>
      <c r="E15" s="4">
        <v>250</v>
      </c>
      <c r="F15" s="4">
        <v>250</v>
      </c>
      <c r="G15" s="4">
        <v>250</v>
      </c>
      <c r="H15" s="4">
        <v>250</v>
      </c>
      <c r="I15" s="4">
        <v>250</v>
      </c>
      <c r="J15" s="4">
        <v>250</v>
      </c>
      <c r="K15" s="4">
        <v>250</v>
      </c>
      <c r="L15" s="4">
        <v>250</v>
      </c>
    </row>
    <row r="17" spans="2:10" ht="15" thickBot="1" x14ac:dyDescent="0.35"/>
    <row r="18" spans="2:10" ht="24.6" thickBot="1" x14ac:dyDescent="0.35">
      <c r="B18" s="90" t="s">
        <v>0</v>
      </c>
      <c r="C18" s="91" t="s">
        <v>10</v>
      </c>
      <c r="D18" s="91" t="s">
        <v>11</v>
      </c>
      <c r="E18" s="91" t="s">
        <v>12</v>
      </c>
      <c r="F18" s="91" t="s">
        <v>4</v>
      </c>
      <c r="G18" s="92" t="s">
        <v>5</v>
      </c>
      <c r="H18" s="91" t="s">
        <v>7</v>
      </c>
      <c r="I18" s="92" t="s">
        <v>134</v>
      </c>
      <c r="J18" s="91" t="s">
        <v>9</v>
      </c>
    </row>
    <row r="19" spans="2:10" x14ac:dyDescent="0.3">
      <c r="B19" s="88" t="s">
        <v>181</v>
      </c>
      <c r="C19" s="12">
        <v>8</v>
      </c>
      <c r="D19" s="12">
        <v>6.75</v>
      </c>
      <c r="E19" s="12">
        <v>2.41</v>
      </c>
      <c r="F19" s="89">
        <v>17713.599999999999</v>
      </c>
      <c r="G19" s="89">
        <v>2148.86</v>
      </c>
      <c r="H19" s="12">
        <v>44.54</v>
      </c>
      <c r="I19" s="12">
        <v>0.11884</v>
      </c>
      <c r="J19" s="12">
        <v>0.98120000000000007</v>
      </c>
    </row>
    <row r="20" spans="2:10" x14ac:dyDescent="0.3">
      <c r="B20" s="10" t="s">
        <v>182</v>
      </c>
      <c r="C20" s="3">
        <v>8.3000000000000007</v>
      </c>
      <c r="D20" s="3">
        <v>6.25</v>
      </c>
      <c r="E20" s="3">
        <v>2.74</v>
      </c>
      <c r="F20" s="8">
        <v>19690.400000000001</v>
      </c>
      <c r="G20" s="8">
        <v>2380.6320000000001</v>
      </c>
      <c r="H20" s="3">
        <v>46.031999999999996</v>
      </c>
      <c r="I20" s="3">
        <v>0.12496</v>
      </c>
      <c r="J20" s="3">
        <v>0.94999999999999984</v>
      </c>
    </row>
    <row r="21" spans="2:10" x14ac:dyDescent="0.3">
      <c r="B21" s="10" t="s">
        <v>183</v>
      </c>
      <c r="C21" s="3">
        <v>6.8</v>
      </c>
      <c r="D21" s="3">
        <v>6</v>
      </c>
      <c r="E21" s="3">
        <v>3.09</v>
      </c>
      <c r="F21" s="8">
        <v>23711.200000000001</v>
      </c>
      <c r="G21" s="8">
        <v>2667.1</v>
      </c>
      <c r="H21" s="3">
        <v>47.8</v>
      </c>
      <c r="I21" s="3">
        <v>0.13008000000000003</v>
      </c>
      <c r="J21" s="3">
        <v>0.93159999999999998</v>
      </c>
    </row>
    <row r="22" spans="2:10" x14ac:dyDescent="0.3">
      <c r="B22" s="10" t="s">
        <v>184</v>
      </c>
      <c r="C22" s="3">
        <v>6.5</v>
      </c>
      <c r="D22" s="3">
        <v>6.25</v>
      </c>
      <c r="E22" s="3">
        <v>3.36</v>
      </c>
      <c r="F22" s="8">
        <v>28196.400000000001</v>
      </c>
      <c r="G22" s="8">
        <v>2946.848</v>
      </c>
      <c r="H22" s="3">
        <v>49.268000000000001</v>
      </c>
      <c r="I22" s="3">
        <v>0.13275999999999999</v>
      </c>
      <c r="J22" s="3">
        <v>0.9124000000000001</v>
      </c>
    </row>
    <row r="23" spans="2:10" x14ac:dyDescent="0.3">
      <c r="B23" s="10" t="s">
        <v>185</v>
      </c>
      <c r="C23" s="3">
        <v>4</v>
      </c>
      <c r="D23" s="3">
        <v>5.15</v>
      </c>
      <c r="E23" s="3">
        <v>3.36</v>
      </c>
      <c r="F23" s="8">
        <v>24213.200000000001</v>
      </c>
      <c r="G23" s="8">
        <v>3103.32</v>
      </c>
      <c r="H23" s="3">
        <v>47.76</v>
      </c>
      <c r="I23" s="3">
        <v>0.12532000000000001</v>
      </c>
      <c r="J23" s="3">
        <v>0.94240000000000013</v>
      </c>
    </row>
    <row r="24" spans="2:10" x14ac:dyDescent="0.3">
      <c r="B24" s="10" t="s">
        <v>186</v>
      </c>
      <c r="C24" s="3">
        <v>7.3</v>
      </c>
      <c r="D24" s="3">
        <v>4</v>
      </c>
      <c r="E24" s="3">
        <v>4.3899999999999997</v>
      </c>
      <c r="F24" s="8">
        <v>35808.800000000003</v>
      </c>
      <c r="G24" s="8">
        <v>3068.38</v>
      </c>
      <c r="H24" s="3">
        <v>52.451999999999998</v>
      </c>
      <c r="I24" s="3">
        <v>0.13</v>
      </c>
      <c r="J24" s="3">
        <v>0.94880000000000009</v>
      </c>
    </row>
    <row r="25" spans="2:10" x14ac:dyDescent="0.3">
      <c r="B25" s="10" t="s">
        <v>14</v>
      </c>
      <c r="C25" s="3">
        <v>8.6999999999999993</v>
      </c>
      <c r="D25" s="3">
        <v>4</v>
      </c>
      <c r="E25" s="3">
        <v>5.54</v>
      </c>
      <c r="F25" s="6">
        <v>66838.800102199995</v>
      </c>
      <c r="G25" s="8">
        <v>3318.8908000000001</v>
      </c>
      <c r="H25" s="3">
        <v>65.99199999999999</v>
      </c>
      <c r="I25" s="3">
        <v>0.12893199999999999</v>
      </c>
      <c r="J25" s="3">
        <v>0.92090810810810819</v>
      </c>
    </row>
    <row r="26" spans="2:10" x14ac:dyDescent="0.3">
      <c r="B26" s="10" t="s">
        <v>64</v>
      </c>
      <c r="C26" s="3">
        <v>7.2</v>
      </c>
      <c r="D26" s="3">
        <v>6.5</v>
      </c>
      <c r="E26" s="3">
        <v>7.5</v>
      </c>
      <c r="F26" s="6">
        <v>71120.199417180003</v>
      </c>
      <c r="G26" s="8">
        <v>4154.9407999999994</v>
      </c>
      <c r="H26" s="3">
        <v>38.484000000000002</v>
      </c>
      <c r="I26" s="3">
        <v>0.12716799999999998</v>
      </c>
      <c r="J26" s="3">
        <v>0.8236</v>
      </c>
    </row>
    <row r="27" spans="2:10" x14ac:dyDescent="0.3">
      <c r="B27" s="10" t="s">
        <v>65</v>
      </c>
      <c r="C27" s="3">
        <v>8.1999999999999993</v>
      </c>
      <c r="D27" s="3">
        <v>6.5</v>
      </c>
      <c r="E27" s="3">
        <v>10</v>
      </c>
      <c r="F27" s="6">
        <v>101067.67082897999</v>
      </c>
      <c r="G27" s="8">
        <v>5350.2</v>
      </c>
      <c r="H27" s="3">
        <v>43.783999999999999</v>
      </c>
      <c r="I27" s="3">
        <v>0.14878000000000002</v>
      </c>
      <c r="J27" s="3">
        <v>0.77621287619047608</v>
      </c>
    </row>
    <row r="28" spans="2:10" ht="15" thickBot="1" x14ac:dyDescent="0.35">
      <c r="B28" s="11" t="s">
        <v>66</v>
      </c>
      <c r="C28" s="4">
        <v>6.5</v>
      </c>
      <c r="D28" s="4">
        <v>6.25</v>
      </c>
      <c r="E28" s="4">
        <v>10.52</v>
      </c>
      <c r="F28" s="7">
        <v>100847.82599995998</v>
      </c>
      <c r="G28" s="9">
        <v>6927.2179319999996</v>
      </c>
      <c r="H28" s="4">
        <v>33.092000000000006</v>
      </c>
      <c r="I28" s="4">
        <v>0.15606000000000003</v>
      </c>
      <c r="J28" s="4">
        <v>0.73701207619047626</v>
      </c>
    </row>
    <row r="35" spans="7:12" x14ac:dyDescent="0.3">
      <c r="G35" s="81"/>
      <c r="H35" s="81"/>
      <c r="I35" s="81"/>
      <c r="J35" s="81"/>
      <c r="K35" s="81"/>
      <c r="L35" s="81"/>
    </row>
    <row r="36" spans="7:12" x14ac:dyDescent="0.3">
      <c r="G36" s="82"/>
      <c r="H36" s="82"/>
      <c r="I36" s="70"/>
      <c r="J36" s="72"/>
      <c r="K36" s="70"/>
      <c r="L36" s="70"/>
    </row>
    <row r="37" spans="7:12" x14ac:dyDescent="0.3">
      <c r="G37" s="82"/>
      <c r="H37" s="82"/>
      <c r="I37" s="70"/>
      <c r="J37" s="72"/>
      <c r="K37" s="70"/>
      <c r="L37" s="70"/>
    </row>
    <row r="38" spans="7:12" x14ac:dyDescent="0.3">
      <c r="G38" s="82"/>
      <c r="H38" s="82"/>
      <c r="I38" s="70"/>
      <c r="J38" s="72"/>
      <c r="K38" s="70"/>
      <c r="L38" s="70"/>
    </row>
    <row r="39" spans="7:12" x14ac:dyDescent="0.3">
      <c r="G39" s="82"/>
      <c r="H39" s="82"/>
      <c r="I39" s="70"/>
      <c r="J39" s="72"/>
      <c r="K39" s="70"/>
      <c r="L39" s="70"/>
    </row>
    <row r="40" spans="7:12" x14ac:dyDescent="0.3">
      <c r="G40" s="82"/>
      <c r="H40" s="82"/>
      <c r="I40" s="70"/>
      <c r="J40" s="72"/>
      <c r="K40" s="70"/>
      <c r="L40" s="70"/>
    </row>
    <row r="41" spans="7:12" x14ac:dyDescent="0.3">
      <c r="G41" s="82"/>
      <c r="H41" s="82"/>
      <c r="I41" s="70"/>
      <c r="J41" s="72"/>
      <c r="K41" s="70"/>
      <c r="L41" s="70"/>
    </row>
    <row r="42" spans="7:12" x14ac:dyDescent="0.3">
      <c r="G42" s="82"/>
      <c r="H42" s="82"/>
      <c r="I42" s="70"/>
      <c r="J42" s="72"/>
      <c r="K42" s="70"/>
      <c r="L42" s="70"/>
    </row>
    <row r="43" spans="7:12" x14ac:dyDescent="0.3">
      <c r="G43" s="82"/>
      <c r="H43" s="82"/>
      <c r="I43" s="70"/>
      <c r="J43" s="72"/>
      <c r="K43" s="70"/>
      <c r="L43" s="70"/>
    </row>
    <row r="44" spans="7:12" x14ac:dyDescent="0.3">
      <c r="G44" s="82"/>
      <c r="H44" s="82"/>
      <c r="I44" s="70"/>
      <c r="J44" s="72"/>
      <c r="K44" s="70"/>
      <c r="L44" s="70"/>
    </row>
    <row r="45" spans="7:12" x14ac:dyDescent="0.3">
      <c r="G45" s="82"/>
      <c r="H45" s="82"/>
      <c r="I45" s="70"/>
      <c r="J45" s="72"/>
      <c r="K45" s="70"/>
      <c r="L45" s="70"/>
    </row>
    <row r="46" spans="7:12" x14ac:dyDescent="0.3">
      <c r="G46" s="82"/>
      <c r="H46" s="82"/>
      <c r="I46" s="70"/>
      <c r="J46" s="72"/>
      <c r="K46" s="70"/>
      <c r="L46" s="70"/>
    </row>
    <row r="47" spans="7:12" x14ac:dyDescent="0.3">
      <c r="G47" s="82"/>
      <c r="H47" s="82"/>
      <c r="I47" s="70"/>
      <c r="J47" s="72"/>
      <c r="K47" s="70"/>
      <c r="L47" s="70"/>
    </row>
    <row r="48" spans="7:12" x14ac:dyDescent="0.3">
      <c r="G48" s="82"/>
      <c r="H48" s="82"/>
      <c r="I48" s="70"/>
      <c r="J48" s="72"/>
      <c r="K48" s="70"/>
      <c r="L48" s="70"/>
    </row>
    <row r="49" spans="7:12" x14ac:dyDescent="0.3">
      <c r="G49" s="82"/>
      <c r="H49" s="82"/>
      <c r="I49" s="70"/>
      <c r="J49" s="72"/>
      <c r="K49" s="70"/>
      <c r="L49" s="70"/>
    </row>
    <row r="50" spans="7:12" x14ac:dyDescent="0.3">
      <c r="G50" s="82"/>
      <c r="H50" s="82"/>
      <c r="I50" s="70"/>
      <c r="J50" s="72"/>
      <c r="K50" s="70"/>
      <c r="L50" s="70"/>
    </row>
    <row r="51" spans="7:12" x14ac:dyDescent="0.3">
      <c r="G51" s="82"/>
      <c r="H51" s="82"/>
      <c r="I51" s="70"/>
      <c r="J51" s="72"/>
      <c r="K51" s="70"/>
      <c r="L51" s="70"/>
    </row>
    <row r="52" spans="7:12" x14ac:dyDescent="0.3">
      <c r="G52" s="82"/>
      <c r="H52" s="82"/>
      <c r="I52" s="70"/>
      <c r="J52" s="72"/>
      <c r="K52" s="70"/>
      <c r="L52" s="70"/>
    </row>
    <row r="53" spans="7:12" x14ac:dyDescent="0.3">
      <c r="G53" s="82"/>
      <c r="H53" s="82"/>
      <c r="I53" s="70"/>
      <c r="J53" s="72"/>
      <c r="K53" s="70"/>
      <c r="L53" s="70"/>
    </row>
    <row r="54" spans="7:12" x14ac:dyDescent="0.3">
      <c r="G54" s="82"/>
      <c r="H54" s="82"/>
      <c r="I54" s="70"/>
      <c r="J54" s="72"/>
      <c r="K54" s="70"/>
      <c r="L54" s="70"/>
    </row>
    <row r="55" spans="7:12" x14ac:dyDescent="0.3">
      <c r="G55" s="82"/>
      <c r="H55" s="82"/>
      <c r="I55" s="70"/>
      <c r="J55" s="72"/>
      <c r="K55" s="70"/>
      <c r="L55" s="70"/>
    </row>
    <row r="56" spans="7:12" x14ac:dyDescent="0.3">
      <c r="G56" s="82"/>
      <c r="H56" s="82"/>
      <c r="I56" s="70"/>
      <c r="J56" s="72"/>
      <c r="K56" s="70"/>
      <c r="L56" s="70"/>
    </row>
    <row r="57" spans="7:12" x14ac:dyDescent="0.3">
      <c r="G57" s="82"/>
      <c r="H57" s="82"/>
      <c r="I57" s="70"/>
      <c r="J57" s="72"/>
      <c r="K57" s="70"/>
      <c r="L57" s="70"/>
    </row>
    <row r="58" spans="7:12" x14ac:dyDescent="0.3">
      <c r="G58" s="82"/>
      <c r="H58" s="82"/>
      <c r="I58" s="72"/>
      <c r="J58" s="72"/>
      <c r="K58" s="72"/>
      <c r="L58" s="72"/>
    </row>
    <row r="59" spans="7:12" x14ac:dyDescent="0.3">
      <c r="G59" s="82"/>
      <c r="H59" s="82"/>
      <c r="I59" s="72"/>
      <c r="J59" s="72"/>
      <c r="K59" s="72"/>
      <c r="L59" s="72"/>
    </row>
    <row r="60" spans="7:12" x14ac:dyDescent="0.3">
      <c r="G60" s="82"/>
      <c r="H60" s="82"/>
      <c r="I60" s="72"/>
      <c r="J60" s="72"/>
      <c r="K60" s="72"/>
      <c r="L60" s="7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CEA5-52C3-479D-AB71-78398B30FA64}">
  <dimension ref="A2:P34"/>
  <sheetViews>
    <sheetView topLeftCell="A19" workbookViewId="0">
      <selection activeCell="E24" sqref="E24"/>
    </sheetView>
  </sheetViews>
  <sheetFormatPr defaultRowHeight="14.4" x14ac:dyDescent="0.3"/>
  <cols>
    <col min="2" max="2" width="16.44140625" bestFit="1" customWidth="1"/>
    <col min="3" max="3" width="10.5546875" bestFit="1" customWidth="1"/>
    <col min="4" max="5" width="13.6640625" bestFit="1" customWidth="1"/>
    <col min="6" max="6" width="12.5546875" bestFit="1" customWidth="1"/>
    <col min="7" max="7" width="13" bestFit="1" customWidth="1"/>
    <col min="8" max="8" width="17.6640625" customWidth="1"/>
    <col min="9" max="9" width="21.44140625" bestFit="1" customWidth="1"/>
    <col min="10" max="10" width="20" bestFit="1" customWidth="1"/>
  </cols>
  <sheetData>
    <row r="2" spans="1:16" ht="15" thickBot="1" x14ac:dyDescent="0.35"/>
    <row r="3" spans="1:16" ht="15" thickBot="1" x14ac:dyDescent="0.35">
      <c r="A3" s="13" t="s">
        <v>88</v>
      </c>
      <c r="B3" s="33" t="s">
        <v>117</v>
      </c>
      <c r="C3" s="131" t="s">
        <v>120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3"/>
    </row>
    <row r="4" spans="1:16" ht="15" thickBot="1" x14ac:dyDescent="0.35">
      <c r="B4" s="14" t="s">
        <v>118</v>
      </c>
      <c r="C4" s="134" t="s">
        <v>121</v>
      </c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6"/>
    </row>
    <row r="5" spans="1:16" ht="15" thickBot="1" x14ac:dyDescent="0.35">
      <c r="B5" s="14" t="s">
        <v>119</v>
      </c>
      <c r="C5" s="34">
        <v>0.05</v>
      </c>
    </row>
    <row r="7" spans="1:16" x14ac:dyDescent="0.3">
      <c r="B7" t="s">
        <v>89</v>
      </c>
    </row>
    <row r="8" spans="1:16" ht="15" thickBot="1" x14ac:dyDescent="0.35"/>
    <row r="9" spans="1:16" x14ac:dyDescent="0.3">
      <c r="B9" s="69" t="s">
        <v>90</v>
      </c>
      <c r="C9" s="69"/>
      <c r="K9" s="1"/>
    </row>
    <row r="10" spans="1:16" x14ac:dyDescent="0.3">
      <c r="B10" t="s">
        <v>91</v>
      </c>
      <c r="C10">
        <v>0.40741702177172234</v>
      </c>
    </row>
    <row r="11" spans="1:16" x14ac:dyDescent="0.3">
      <c r="B11" t="s">
        <v>92</v>
      </c>
      <c r="C11">
        <v>0.56598862962934005</v>
      </c>
      <c r="D11" s="137" t="s">
        <v>188</v>
      </c>
      <c r="E11" s="137"/>
      <c r="F11" s="137"/>
      <c r="G11" s="137"/>
      <c r="H11" s="137"/>
    </row>
    <row r="12" spans="1:16" x14ac:dyDescent="0.3">
      <c r="B12" t="s">
        <v>93</v>
      </c>
      <c r="C12">
        <v>0.54262568055526506</v>
      </c>
      <c r="D12" s="137"/>
      <c r="E12" s="137"/>
      <c r="F12" s="137"/>
      <c r="G12" s="137"/>
      <c r="H12" s="137"/>
    </row>
    <row r="13" spans="1:16" x14ac:dyDescent="0.3">
      <c r="B13" t="s">
        <v>76</v>
      </c>
      <c r="C13">
        <v>1.560928939291097</v>
      </c>
      <c r="D13" s="137"/>
      <c r="E13" s="137"/>
      <c r="F13" s="137"/>
      <c r="G13" s="137"/>
      <c r="H13" s="137"/>
    </row>
    <row r="14" spans="1:16" ht="15" thickBot="1" x14ac:dyDescent="0.35">
      <c r="B14" s="67" t="s">
        <v>94</v>
      </c>
      <c r="C14" s="67">
        <v>250</v>
      </c>
    </row>
    <row r="16" spans="1:16" ht="15" thickBot="1" x14ac:dyDescent="0.35">
      <c r="B16" t="s">
        <v>95</v>
      </c>
    </row>
    <row r="17" spans="2:14" x14ac:dyDescent="0.3">
      <c r="B17" s="68"/>
      <c r="C17" s="68" t="s">
        <v>100</v>
      </c>
      <c r="D17" s="68" t="s">
        <v>101</v>
      </c>
      <c r="E17" s="68" t="s">
        <v>102</v>
      </c>
      <c r="F17" s="68" t="s">
        <v>103</v>
      </c>
      <c r="G17" s="68" t="s">
        <v>104</v>
      </c>
      <c r="I17" s="137" t="s">
        <v>122</v>
      </c>
      <c r="J17" s="137"/>
      <c r="K17" s="137"/>
      <c r="L17" s="137"/>
      <c r="M17" s="137"/>
      <c r="N17" s="137"/>
    </row>
    <row r="18" spans="2:14" x14ac:dyDescent="0.3">
      <c r="B18" t="s">
        <v>96</v>
      </c>
      <c r="C18">
        <v>1</v>
      </c>
      <c r="D18" s="70">
        <v>120.26086231961494</v>
      </c>
      <c r="E18" s="70">
        <v>120.26086231961494</v>
      </c>
      <c r="F18" s="70">
        <v>49.35805626940229</v>
      </c>
      <c r="G18" s="70">
        <v>2.0475305124396126E-11</v>
      </c>
      <c r="H18" s="138" t="s">
        <v>116</v>
      </c>
      <c r="I18" s="137"/>
      <c r="J18" s="137"/>
      <c r="K18" s="137"/>
      <c r="L18" s="137"/>
      <c r="M18" s="137"/>
      <c r="N18" s="137"/>
    </row>
    <row r="19" spans="2:14" x14ac:dyDescent="0.3">
      <c r="B19" t="s">
        <v>97</v>
      </c>
      <c r="C19">
        <v>248</v>
      </c>
      <c r="D19" s="70">
        <v>604.25179007207441</v>
      </c>
      <c r="E19" s="70">
        <v>2.4364991535164289</v>
      </c>
      <c r="F19" s="70"/>
      <c r="G19" s="70"/>
      <c r="H19" s="138"/>
      <c r="I19" s="137"/>
      <c r="J19" s="137"/>
      <c r="K19" s="137"/>
      <c r="L19" s="137"/>
      <c r="M19" s="137"/>
      <c r="N19" s="137"/>
    </row>
    <row r="20" spans="2:14" ht="15" thickBot="1" x14ac:dyDescent="0.35">
      <c r="B20" s="67" t="s">
        <v>98</v>
      </c>
      <c r="C20" s="67">
        <v>249</v>
      </c>
      <c r="D20" s="71">
        <v>724.51265239168936</v>
      </c>
      <c r="E20" s="71"/>
      <c r="F20" s="71"/>
      <c r="G20" s="71"/>
      <c r="I20" s="137"/>
      <c r="J20" s="137"/>
      <c r="K20" s="137"/>
      <c r="L20" s="137"/>
      <c r="M20" s="137"/>
      <c r="N20" s="137"/>
    </row>
    <row r="21" spans="2:14" ht="15" thickBot="1" x14ac:dyDescent="0.35">
      <c r="I21" s="137"/>
      <c r="J21" s="137"/>
      <c r="K21" s="137"/>
      <c r="L21" s="137"/>
      <c r="M21" s="137"/>
      <c r="N21" s="137"/>
    </row>
    <row r="22" spans="2:14" x14ac:dyDescent="0.3">
      <c r="B22" s="68"/>
      <c r="C22" s="68" t="s">
        <v>105</v>
      </c>
      <c r="D22" s="68" t="s">
        <v>76</v>
      </c>
      <c r="E22" s="68" t="s">
        <v>106</v>
      </c>
      <c r="F22" s="68" t="s">
        <v>107</v>
      </c>
      <c r="G22" s="68" t="s">
        <v>108</v>
      </c>
      <c r="H22" s="68" t="s">
        <v>109</v>
      </c>
      <c r="I22" s="68" t="s">
        <v>110</v>
      </c>
      <c r="J22" s="68" t="s">
        <v>111</v>
      </c>
    </row>
    <row r="23" spans="2:14" x14ac:dyDescent="0.3">
      <c r="B23" t="s">
        <v>99</v>
      </c>
      <c r="C23" s="70">
        <v>8.1425665838447028</v>
      </c>
      <c r="D23" s="70">
        <v>0.20703886532867954</v>
      </c>
      <c r="E23" s="70">
        <v>39.328686287563293</v>
      </c>
      <c r="F23" s="22">
        <v>1.4188632602876114E-108</v>
      </c>
      <c r="G23" s="70">
        <v>7.7347878753389621</v>
      </c>
      <c r="H23" s="70">
        <v>8.5503452923504426</v>
      </c>
      <c r="I23" s="70">
        <v>7.7347878753389621</v>
      </c>
      <c r="J23" s="70">
        <v>8.5503452923504426</v>
      </c>
    </row>
    <row r="24" spans="2:14" ht="29.4" thickBot="1" x14ac:dyDescent="0.35">
      <c r="B24" s="93" t="s">
        <v>12</v>
      </c>
      <c r="C24" s="71">
        <v>0.24164649166458937</v>
      </c>
      <c r="D24" s="71">
        <v>3.4395487548280958E-2</v>
      </c>
      <c r="E24" s="71">
        <v>7.0255288960620232</v>
      </c>
      <c r="F24" s="23">
        <v>2.0475305124394332E-11</v>
      </c>
      <c r="G24" s="71">
        <v>0.17390197679489544</v>
      </c>
      <c r="H24" s="71">
        <v>0.30939100653428331</v>
      </c>
      <c r="I24" s="71">
        <v>0.17390197679489544</v>
      </c>
      <c r="J24" s="71">
        <v>0.30939100653428331</v>
      </c>
    </row>
    <row r="25" spans="2:14" ht="15" thickBot="1" x14ac:dyDescent="0.35"/>
    <row r="26" spans="2:14" x14ac:dyDescent="0.3">
      <c r="D26" s="42"/>
      <c r="E26" s="42" t="s">
        <v>107</v>
      </c>
      <c r="F26" s="43"/>
      <c r="G26" s="43" t="s">
        <v>115</v>
      </c>
      <c r="H26" s="43"/>
      <c r="I26" s="38"/>
      <c r="J26" s="38"/>
    </row>
    <row r="27" spans="2:14" ht="16.2" thickBot="1" x14ac:dyDescent="0.35">
      <c r="D27" s="41" t="s">
        <v>12</v>
      </c>
      <c r="E27" s="41">
        <v>1.293648614093164E-14</v>
      </c>
      <c r="F27" s="5"/>
      <c r="G27" s="40" t="s">
        <v>112</v>
      </c>
      <c r="H27" s="39">
        <v>0.05</v>
      </c>
      <c r="I27" s="32" t="s">
        <v>113</v>
      </c>
      <c r="J27" s="32" t="s">
        <v>114</v>
      </c>
    </row>
    <row r="29" spans="2:14" x14ac:dyDescent="0.3">
      <c r="D29" s="124" t="s">
        <v>189</v>
      </c>
      <c r="E29" s="124"/>
      <c r="F29" s="124"/>
      <c r="G29" s="124"/>
    </row>
    <row r="30" spans="2:14" ht="15" thickBot="1" x14ac:dyDescent="0.35">
      <c r="D30" s="13" t="s">
        <v>123</v>
      </c>
    </row>
    <row r="31" spans="2:14" x14ac:dyDescent="0.3">
      <c r="D31" s="125" t="s">
        <v>120</v>
      </c>
      <c r="E31" s="126"/>
      <c r="F31" s="126"/>
      <c r="G31" s="126"/>
      <c r="H31" s="126"/>
      <c r="I31" s="127"/>
    </row>
    <row r="32" spans="2:14" ht="15" thickBot="1" x14ac:dyDescent="0.35">
      <c r="D32" s="128"/>
      <c r="E32" s="129"/>
      <c r="F32" s="129"/>
      <c r="G32" s="129"/>
      <c r="H32" s="129"/>
      <c r="I32" s="130"/>
    </row>
    <row r="34" spans="4:4" x14ac:dyDescent="0.3">
      <c r="D34" s="13" t="s">
        <v>190</v>
      </c>
    </row>
  </sheetData>
  <mergeCells count="7">
    <mergeCell ref="D29:G29"/>
    <mergeCell ref="D31:I32"/>
    <mergeCell ref="C3:P3"/>
    <mergeCell ref="C4:P4"/>
    <mergeCell ref="D11:H13"/>
    <mergeCell ref="I17:N21"/>
    <mergeCell ref="H18:H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00C1-0A3A-47B5-B4AC-1DB595200843}">
  <dimension ref="A2:U322"/>
  <sheetViews>
    <sheetView topLeftCell="A308" zoomScale="62" workbookViewId="0">
      <selection activeCell="A255" sqref="A255"/>
    </sheetView>
  </sheetViews>
  <sheetFormatPr defaultRowHeight="14.4" x14ac:dyDescent="0.3"/>
  <cols>
    <col min="3" max="3" width="9.21875" bestFit="1" customWidth="1"/>
    <col min="4" max="4" width="28" customWidth="1"/>
    <col min="5" max="5" width="14.77734375" bestFit="1" customWidth="1"/>
    <col min="6" max="6" width="12.6640625" bestFit="1" customWidth="1"/>
    <col min="7" max="7" width="14.44140625" bestFit="1" customWidth="1"/>
    <col min="8" max="8" width="21.6640625" bestFit="1" customWidth="1"/>
    <col min="9" max="9" width="23.6640625" bestFit="1" customWidth="1"/>
    <col min="10" max="10" width="13.44140625" bestFit="1" customWidth="1"/>
    <col min="15" max="15" width="12.77734375" customWidth="1"/>
  </cols>
  <sheetData>
    <row r="2" spans="2:7" ht="24" hidden="1" x14ac:dyDescent="0.3">
      <c r="B2" s="21" t="s">
        <v>7</v>
      </c>
      <c r="C2" s="21" t="s">
        <v>5</v>
      </c>
      <c r="D2" s="21" t="s">
        <v>9</v>
      </c>
      <c r="E2" s="21" t="s">
        <v>13</v>
      </c>
      <c r="F2" s="21" t="s">
        <v>134</v>
      </c>
      <c r="G2" s="21" t="s">
        <v>6</v>
      </c>
    </row>
    <row r="3" spans="2:7" hidden="1" x14ac:dyDescent="0.3">
      <c r="B3" s="77">
        <v>6.2</v>
      </c>
      <c r="C3" s="75">
        <v>28</v>
      </c>
      <c r="D3" s="76">
        <v>0</v>
      </c>
      <c r="E3">
        <v>7.506591780070841</v>
      </c>
      <c r="F3">
        <v>0.12</v>
      </c>
      <c r="G3">
        <v>1.4200000000000001E-2</v>
      </c>
    </row>
    <row r="4" spans="2:7" hidden="1" x14ac:dyDescent="0.3">
      <c r="B4" s="95">
        <v>6.8</v>
      </c>
      <c r="C4" s="97">
        <v>32</v>
      </c>
      <c r="D4" s="99">
        <v>0</v>
      </c>
      <c r="E4">
        <v>7.6496926237115144</v>
      </c>
      <c r="F4">
        <v>0.13</v>
      </c>
      <c r="G4">
        <v>1.55E-2</v>
      </c>
    </row>
    <row r="5" spans="2:7" hidden="1" x14ac:dyDescent="0.3">
      <c r="B5" s="77">
        <v>7</v>
      </c>
      <c r="C5" s="75">
        <v>36</v>
      </c>
      <c r="D5" s="76">
        <v>0</v>
      </c>
      <c r="E5">
        <v>7.8038433035387724</v>
      </c>
      <c r="F5">
        <v>0.14000000000000001</v>
      </c>
      <c r="G5">
        <v>1.6799999999999999E-2</v>
      </c>
    </row>
    <row r="6" spans="2:7" hidden="1" x14ac:dyDescent="0.3">
      <c r="B6" s="95">
        <v>6.5</v>
      </c>
      <c r="C6" s="97">
        <v>38</v>
      </c>
      <c r="D6" s="99">
        <v>0</v>
      </c>
      <c r="E6">
        <v>7.8935720735049024</v>
      </c>
      <c r="F6">
        <v>0.14000000000000001</v>
      </c>
      <c r="G6">
        <v>1.7500000000000002E-2</v>
      </c>
    </row>
    <row r="7" spans="2:7" hidden="1" x14ac:dyDescent="0.3">
      <c r="B7" s="77">
        <v>5.8</v>
      </c>
      <c r="C7" s="75">
        <v>39</v>
      </c>
      <c r="D7" s="76">
        <v>0</v>
      </c>
      <c r="E7">
        <v>7.696212639346407</v>
      </c>
      <c r="F7">
        <v>0.13</v>
      </c>
      <c r="G7">
        <v>1.7999999999999999E-2</v>
      </c>
    </row>
    <row r="8" spans="2:7" hidden="1" x14ac:dyDescent="0.3">
      <c r="B8" s="95">
        <v>6.8</v>
      </c>
      <c r="C8" s="97">
        <v>40</v>
      </c>
      <c r="D8" s="99">
        <v>0</v>
      </c>
      <c r="E8">
        <v>8.0391573904732372</v>
      </c>
      <c r="F8">
        <v>0.13</v>
      </c>
      <c r="G8">
        <v>1.8499999999999999E-2</v>
      </c>
    </row>
    <row r="9" spans="2:7" hidden="1" x14ac:dyDescent="0.3">
      <c r="B9" s="96">
        <v>7.4</v>
      </c>
      <c r="C9" s="98">
        <f>0.41*100</f>
        <v>41</v>
      </c>
      <c r="D9" s="100">
        <v>0</v>
      </c>
      <c r="E9">
        <v>8.2276427079044296</v>
      </c>
      <c r="F9">
        <v>0.14000000000000001</v>
      </c>
      <c r="G9">
        <v>1.89E-2</v>
      </c>
    </row>
    <row r="10" spans="2:7" hidden="1" x14ac:dyDescent="0.3">
      <c r="B10" s="6">
        <v>7</v>
      </c>
      <c r="C10" s="8">
        <v>100</v>
      </c>
      <c r="D10" s="3">
        <v>0</v>
      </c>
      <c r="E10">
        <v>8.5690263400562543</v>
      </c>
      <c r="F10">
        <v>0.16</v>
      </c>
      <c r="G10">
        <v>2.12E-2</v>
      </c>
    </row>
    <row r="11" spans="2:7" hidden="1" x14ac:dyDescent="0.3">
      <c r="B11" s="80">
        <v>24.1</v>
      </c>
      <c r="C11" s="78">
        <v>848</v>
      </c>
      <c r="D11" s="79">
        <v>5.5999999999999995E-4</v>
      </c>
      <c r="E11">
        <v>9.9358787475305057</v>
      </c>
      <c r="F11">
        <v>0.18</v>
      </c>
      <c r="G11">
        <v>2.5499999999999998E-2</v>
      </c>
    </row>
    <row r="12" spans="2:7" hidden="1" x14ac:dyDescent="0.3">
      <c r="B12" s="6">
        <v>20.100000000000001</v>
      </c>
      <c r="C12" s="8">
        <v>1052</v>
      </c>
      <c r="D12" s="3">
        <v>5.4000000000000001E-4</v>
      </c>
      <c r="E12">
        <v>9.5967585671641125</v>
      </c>
      <c r="F12">
        <v>0.12</v>
      </c>
      <c r="G12">
        <v>8.7737642585551338E-3</v>
      </c>
    </row>
    <row r="13" spans="2:7" hidden="1" x14ac:dyDescent="0.3">
      <c r="B13" s="80">
        <v>11.2</v>
      </c>
      <c r="C13" s="78">
        <v>16800</v>
      </c>
      <c r="D13" s="79">
        <v>1.58</v>
      </c>
      <c r="E13">
        <v>11.461632170582678</v>
      </c>
      <c r="F13">
        <v>8.5000000000000006E-2</v>
      </c>
      <c r="G13">
        <v>7.1999999999999995E-2</v>
      </c>
    </row>
    <row r="14" spans="2:7" hidden="1" x14ac:dyDescent="0.3">
      <c r="B14" s="6">
        <v>10.8</v>
      </c>
      <c r="C14" s="8">
        <v>17500</v>
      </c>
      <c r="D14" s="3">
        <v>1.52</v>
      </c>
      <c r="E14">
        <v>11.492722757652709</v>
      </c>
      <c r="F14">
        <v>8.7999999999999995E-2</v>
      </c>
      <c r="G14">
        <v>7.3999999999999996E-2</v>
      </c>
    </row>
    <row r="15" spans="2:7" hidden="1" x14ac:dyDescent="0.3">
      <c r="B15" s="80">
        <v>11.5</v>
      </c>
      <c r="C15" s="78">
        <v>18600</v>
      </c>
      <c r="D15" s="79">
        <v>1.48</v>
      </c>
      <c r="E15">
        <v>11.580584113444043</v>
      </c>
      <c r="F15">
        <v>0.09</v>
      </c>
      <c r="G15">
        <v>7.8E-2</v>
      </c>
    </row>
    <row r="16" spans="2:7" hidden="1" x14ac:dyDescent="0.3">
      <c r="B16" s="6">
        <v>10.9</v>
      </c>
      <c r="C16" s="8">
        <v>19200</v>
      </c>
      <c r="D16" s="3">
        <v>1.44</v>
      </c>
      <c r="E16">
        <v>11.661345470088502</v>
      </c>
      <c r="F16">
        <v>9.1999999999999998E-2</v>
      </c>
      <c r="G16">
        <v>8.1000000000000003E-2</v>
      </c>
    </row>
    <row r="17" spans="2:7" hidden="1" x14ac:dyDescent="0.3">
      <c r="B17" s="80">
        <v>10.1</v>
      </c>
      <c r="C17" s="78">
        <v>20000</v>
      </c>
      <c r="D17" s="79">
        <v>1.5</v>
      </c>
      <c r="E17">
        <v>11.512925464970229</v>
      </c>
      <c r="F17">
        <v>8.5000000000000006E-2</v>
      </c>
      <c r="G17">
        <v>8.4000000000000005E-2</v>
      </c>
    </row>
    <row r="18" spans="2:7" hidden="1" x14ac:dyDescent="0.3">
      <c r="B18" s="6">
        <v>11</v>
      </c>
      <c r="C18" s="8">
        <v>20339</v>
      </c>
      <c r="D18" s="3">
        <v>1.55</v>
      </c>
      <c r="E18">
        <v>11.608235644774552</v>
      </c>
      <c r="F18">
        <v>8.6999999999999994E-2</v>
      </c>
      <c r="G18">
        <v>8.5999999999999993E-2</v>
      </c>
    </row>
    <row r="19" spans="2:7" hidden="1" x14ac:dyDescent="0.3">
      <c r="B19" s="80">
        <v>8.6</v>
      </c>
      <c r="C19" s="78">
        <v>21035</v>
      </c>
      <c r="D19" s="79">
        <v>1.43</v>
      </c>
      <c r="E19">
        <v>11.781860402897301</v>
      </c>
      <c r="F19">
        <v>0.09</v>
      </c>
      <c r="G19">
        <v>5.6676725763862693E-2</v>
      </c>
    </row>
    <row r="20" spans="2:7" hidden="1" x14ac:dyDescent="0.3">
      <c r="B20" s="6">
        <v>9.9</v>
      </c>
      <c r="C20" s="8">
        <v>22823</v>
      </c>
      <c r="D20" s="3">
        <v>1.33</v>
      </c>
      <c r="E20">
        <v>12.043165405355447</v>
      </c>
      <c r="F20">
        <v>0.1</v>
      </c>
      <c r="G20">
        <v>5.9685606466747039E-2</v>
      </c>
    </row>
    <row r="21" spans="2:7" hidden="1" x14ac:dyDescent="0.3">
      <c r="B21" s="80">
        <v>16.7</v>
      </c>
      <c r="C21" s="78">
        <v>35385</v>
      </c>
      <c r="D21" s="79">
        <v>1.25</v>
      </c>
      <c r="E21">
        <v>12.693913123154932</v>
      </c>
      <c r="F21">
        <v>0.1</v>
      </c>
      <c r="G21">
        <v>8.9970861492928961E-2</v>
      </c>
    </row>
    <row r="22" spans="2:7" hidden="1" x14ac:dyDescent="0.3">
      <c r="B22" s="6">
        <v>15.5</v>
      </c>
      <c r="C22" s="8">
        <v>48594</v>
      </c>
      <c r="D22" s="3">
        <v>1.1499999999999999</v>
      </c>
      <c r="E22">
        <v>12.75650640739071</v>
      </c>
      <c r="F22">
        <v>0.1</v>
      </c>
      <c r="G22">
        <v>0.11912717538126628</v>
      </c>
    </row>
    <row r="23" spans="2:7" hidden="1" x14ac:dyDescent="0.3">
      <c r="B23" s="80">
        <v>19.5</v>
      </c>
      <c r="C23" s="78">
        <v>4200</v>
      </c>
      <c r="D23" s="79">
        <v>2.92</v>
      </c>
      <c r="E23">
        <v>9.2301429992723616</v>
      </c>
      <c r="F23">
        <v>6.5000000000000002E-2</v>
      </c>
      <c r="G23">
        <v>4.8000000000000001E-2</v>
      </c>
    </row>
    <row r="24" spans="2:7" hidden="1" x14ac:dyDescent="0.3">
      <c r="B24" s="6">
        <v>18.8</v>
      </c>
      <c r="C24" s="8">
        <v>4500</v>
      </c>
      <c r="D24" s="3">
        <v>2.82</v>
      </c>
      <c r="E24">
        <v>9.2873014131123117</v>
      </c>
      <c r="F24">
        <v>6.8000000000000005E-2</v>
      </c>
      <c r="G24">
        <v>0.05</v>
      </c>
    </row>
    <row r="25" spans="2:7" hidden="1" x14ac:dyDescent="0.3">
      <c r="B25" s="80">
        <v>17.2</v>
      </c>
      <c r="C25" s="78">
        <v>4800</v>
      </c>
      <c r="D25" s="79">
        <v>2.75</v>
      </c>
      <c r="E25">
        <v>9.3501023143513411</v>
      </c>
      <c r="F25">
        <v>6.2E-2</v>
      </c>
      <c r="G25">
        <v>5.2999999999999999E-2</v>
      </c>
    </row>
    <row r="26" spans="2:7" hidden="1" x14ac:dyDescent="0.3">
      <c r="B26" s="6">
        <v>16.5</v>
      </c>
      <c r="C26" s="8">
        <v>5100</v>
      </c>
      <c r="D26" s="3">
        <v>2.68</v>
      </c>
      <c r="E26">
        <v>9.4091912307213477</v>
      </c>
      <c r="F26">
        <v>0.06</v>
      </c>
      <c r="G26">
        <v>5.6000000000000001E-2</v>
      </c>
    </row>
    <row r="27" spans="2:7" hidden="1" x14ac:dyDescent="0.3">
      <c r="B27" s="80">
        <v>15</v>
      </c>
      <c r="C27" s="78">
        <v>5400</v>
      </c>
      <c r="D27" s="79">
        <v>2.72</v>
      </c>
      <c r="E27">
        <v>9.0938065557202314</v>
      </c>
      <c r="F27">
        <v>5.8000000000000003E-2</v>
      </c>
      <c r="G27">
        <v>5.7000000000000002E-2</v>
      </c>
    </row>
    <row r="28" spans="2:7" hidden="1" x14ac:dyDescent="0.3">
      <c r="B28" s="6">
        <v>22</v>
      </c>
      <c r="C28" s="8">
        <v>5800</v>
      </c>
      <c r="D28" s="3">
        <v>2.65</v>
      </c>
      <c r="E28">
        <v>9.7981270368783022</v>
      </c>
      <c r="F28">
        <v>7.1999999999999995E-2</v>
      </c>
      <c r="G28">
        <v>5.8000000000000003E-2</v>
      </c>
    </row>
    <row r="29" spans="2:7" hidden="1" x14ac:dyDescent="0.3">
      <c r="B29" s="80">
        <v>48.1</v>
      </c>
      <c r="C29" s="78">
        <v>7268</v>
      </c>
      <c r="D29" s="79">
        <v>2.58</v>
      </c>
      <c r="E29">
        <v>11.242703408761695</v>
      </c>
      <c r="F29">
        <v>0.09</v>
      </c>
      <c r="G29">
        <v>6.0100000000000001E-2</v>
      </c>
    </row>
    <row r="30" spans="2:7" hidden="1" x14ac:dyDescent="0.3">
      <c r="B30" s="6">
        <v>17.100000000000001</v>
      </c>
      <c r="C30" s="8">
        <v>7656</v>
      </c>
      <c r="D30" s="3">
        <v>1.85</v>
      </c>
      <c r="E30">
        <v>11.014933799184323</v>
      </c>
      <c r="F30">
        <v>0.12</v>
      </c>
      <c r="G30">
        <v>7.0000000000000007E-2</v>
      </c>
    </row>
    <row r="31" spans="2:7" hidden="1" x14ac:dyDescent="0.3">
      <c r="B31" s="80">
        <v>38.6</v>
      </c>
      <c r="C31" s="78">
        <v>13333</v>
      </c>
      <c r="D31" s="79">
        <v>1.48</v>
      </c>
      <c r="E31">
        <v>11.736069016284437</v>
      </c>
      <c r="F31">
        <v>0.11</v>
      </c>
      <c r="G31">
        <v>8.0600000000000005E-2</v>
      </c>
    </row>
    <row r="32" spans="2:7" hidden="1" x14ac:dyDescent="0.3">
      <c r="B32" s="6">
        <v>30.2</v>
      </c>
      <c r="C32" s="8">
        <v>18322</v>
      </c>
      <c r="D32" s="3">
        <v>1.1000000000000001</v>
      </c>
      <c r="E32">
        <v>11.695247021764184</v>
      </c>
      <c r="F32">
        <v>0.11</v>
      </c>
      <c r="G32">
        <v>8.9599999999999999E-2</v>
      </c>
    </row>
    <row r="33" spans="2:7" hidden="1" x14ac:dyDescent="0.3">
      <c r="B33" s="80">
        <v>14.2</v>
      </c>
      <c r="C33" s="78">
        <v>1650</v>
      </c>
      <c r="D33" s="79">
        <v>1.85</v>
      </c>
      <c r="E33">
        <v>8.8246778911641979</v>
      </c>
      <c r="F33">
        <v>8.2000000000000003E-2</v>
      </c>
      <c r="G33">
        <v>0.112</v>
      </c>
    </row>
    <row r="34" spans="2:7" hidden="1" x14ac:dyDescent="0.3">
      <c r="B34" s="6">
        <v>13.8</v>
      </c>
      <c r="C34" s="8">
        <v>1780</v>
      </c>
      <c r="D34" s="3">
        <v>1.78</v>
      </c>
      <c r="E34">
        <v>8.8818363050041462</v>
      </c>
      <c r="F34">
        <v>8.5000000000000006E-2</v>
      </c>
      <c r="G34">
        <v>0.11799999999999999</v>
      </c>
    </row>
    <row r="35" spans="2:7" hidden="1" x14ac:dyDescent="0.3">
      <c r="B35" s="80">
        <v>12.5</v>
      </c>
      <c r="C35" s="78">
        <v>1900</v>
      </c>
      <c r="D35" s="79">
        <v>1.82</v>
      </c>
      <c r="E35">
        <v>8.7795574558837277</v>
      </c>
      <c r="F35">
        <v>0.08</v>
      </c>
      <c r="G35">
        <v>0.124</v>
      </c>
    </row>
    <row r="36" spans="2:7" hidden="1" x14ac:dyDescent="0.3">
      <c r="B36" s="6">
        <v>13</v>
      </c>
      <c r="C36" s="8">
        <v>2020</v>
      </c>
      <c r="D36" s="3">
        <v>1.76</v>
      </c>
      <c r="E36">
        <v>8.8678500630294064</v>
      </c>
      <c r="F36">
        <v>7.8E-2</v>
      </c>
      <c r="G36">
        <v>0.128</v>
      </c>
    </row>
    <row r="37" spans="2:7" hidden="1" x14ac:dyDescent="0.3">
      <c r="B37" s="80">
        <v>11.2</v>
      </c>
      <c r="C37" s="78">
        <v>2100</v>
      </c>
      <c r="D37" s="79">
        <v>1.8</v>
      </c>
      <c r="E37">
        <v>8.66561319653451</v>
      </c>
      <c r="F37">
        <v>7.1999999999999995E-2</v>
      </c>
      <c r="G37">
        <v>0.13100000000000001</v>
      </c>
    </row>
    <row r="38" spans="2:7" hidden="1" x14ac:dyDescent="0.3">
      <c r="B38" s="6">
        <v>12.8</v>
      </c>
      <c r="C38" s="8">
        <v>2180</v>
      </c>
      <c r="D38" s="3">
        <v>1.86</v>
      </c>
      <c r="E38">
        <v>8.9226582995244019</v>
      </c>
      <c r="F38">
        <v>7.4999999999999997E-2</v>
      </c>
      <c r="G38">
        <v>0.13500000000000001</v>
      </c>
    </row>
    <row r="39" spans="2:7" hidden="1" x14ac:dyDescent="0.3">
      <c r="B39" s="80">
        <v>36.4</v>
      </c>
      <c r="C39" s="78">
        <v>2271</v>
      </c>
      <c r="D39" s="79">
        <v>0.89</v>
      </c>
      <c r="E39">
        <v>9.4786867081212218</v>
      </c>
      <c r="F39">
        <v>0.09</v>
      </c>
      <c r="G39">
        <v>0.14019999999999999</v>
      </c>
    </row>
    <row r="40" spans="2:7" hidden="1" x14ac:dyDescent="0.3">
      <c r="B40" s="6">
        <v>20</v>
      </c>
      <c r="C40" s="8">
        <v>2710</v>
      </c>
      <c r="D40" s="3">
        <v>0.66</v>
      </c>
      <c r="E40">
        <v>9.8681194086983375</v>
      </c>
      <c r="F40">
        <v>0.09</v>
      </c>
      <c r="G40">
        <v>0.1643</v>
      </c>
    </row>
    <row r="41" spans="2:7" hidden="1" x14ac:dyDescent="0.3">
      <c r="B41" s="80">
        <v>65.099999999999994</v>
      </c>
      <c r="C41" s="78">
        <v>3169</v>
      </c>
      <c r="D41" s="79">
        <v>0.98</v>
      </c>
      <c r="E41">
        <v>10.093611921393103</v>
      </c>
      <c r="F41">
        <v>0.09</v>
      </c>
      <c r="G41">
        <v>0.1875</v>
      </c>
    </row>
    <row r="42" spans="2:7" hidden="1" x14ac:dyDescent="0.3">
      <c r="B42" s="6">
        <v>36.4</v>
      </c>
      <c r="C42" s="8">
        <v>3500</v>
      </c>
      <c r="D42" s="3">
        <v>0.74</v>
      </c>
      <c r="E42">
        <v>10.153195134975888</v>
      </c>
      <c r="F42">
        <v>0.08</v>
      </c>
      <c r="G42">
        <v>0.1978</v>
      </c>
    </row>
    <row r="43" spans="2:7" hidden="1" x14ac:dyDescent="0.3">
      <c r="B43" s="80">
        <v>13.2</v>
      </c>
      <c r="C43" s="78">
        <v>12000</v>
      </c>
      <c r="D43" s="79">
        <v>1.88</v>
      </c>
      <c r="E43">
        <v>11.156250521031495</v>
      </c>
      <c r="F43">
        <v>9.8000000000000004E-2</v>
      </c>
      <c r="G43">
        <v>7.6999999999999999E-2</v>
      </c>
    </row>
    <row r="44" spans="2:7" hidden="1" x14ac:dyDescent="0.3">
      <c r="B44" s="6">
        <v>13.8</v>
      </c>
      <c r="C44" s="8">
        <v>13000</v>
      </c>
      <c r="D44" s="3">
        <v>1.85</v>
      </c>
      <c r="E44">
        <v>11.238488619268468</v>
      </c>
      <c r="F44">
        <v>0.1</v>
      </c>
      <c r="G44">
        <v>7.9000000000000001E-2</v>
      </c>
    </row>
    <row r="45" spans="2:7" hidden="1" x14ac:dyDescent="0.3">
      <c r="B45" s="80">
        <v>14.2</v>
      </c>
      <c r="C45" s="78">
        <v>14000</v>
      </c>
      <c r="D45" s="79">
        <v>1.8</v>
      </c>
      <c r="E45">
        <v>11.314474526246391</v>
      </c>
      <c r="F45">
        <v>0.10199999999999999</v>
      </c>
      <c r="G45">
        <v>8.1000000000000003E-2</v>
      </c>
    </row>
    <row r="46" spans="2:7" hidden="1" x14ac:dyDescent="0.3">
      <c r="B46" s="6">
        <v>13.5</v>
      </c>
      <c r="C46" s="8">
        <v>15500</v>
      </c>
      <c r="D46" s="3">
        <v>1.75</v>
      </c>
      <c r="E46">
        <v>11.385092093460344</v>
      </c>
      <c r="F46">
        <v>0.105</v>
      </c>
      <c r="G46">
        <v>8.3000000000000004E-2</v>
      </c>
    </row>
    <row r="47" spans="2:7" hidden="1" x14ac:dyDescent="0.3">
      <c r="B47" s="80">
        <v>12.8</v>
      </c>
      <c r="C47" s="78">
        <v>14200</v>
      </c>
      <c r="D47" s="79">
        <v>1.78</v>
      </c>
      <c r="E47">
        <v>11.264464105671729</v>
      </c>
      <c r="F47">
        <v>9.8000000000000004E-2</v>
      </c>
      <c r="G47">
        <v>8.2000000000000003E-2</v>
      </c>
    </row>
    <row r="48" spans="2:7" hidden="1" x14ac:dyDescent="0.3">
      <c r="B48" s="6">
        <v>12.5</v>
      </c>
      <c r="C48" s="8">
        <v>9212</v>
      </c>
      <c r="D48" s="3">
        <v>1.72</v>
      </c>
      <c r="E48">
        <v>11.350406535472453</v>
      </c>
      <c r="F48">
        <v>9.6000000000000002E-2</v>
      </c>
      <c r="G48">
        <v>8.4000000000000005E-2</v>
      </c>
    </row>
    <row r="49" spans="2:7" hidden="1" x14ac:dyDescent="0.3">
      <c r="B49" s="80">
        <v>11.8</v>
      </c>
      <c r="C49" s="78">
        <v>9426</v>
      </c>
      <c r="D49" s="79">
        <f>63/37</f>
        <v>1.7027027027027026</v>
      </c>
      <c r="E49">
        <v>11.680497107984655</v>
      </c>
      <c r="F49">
        <v>0.11</v>
      </c>
      <c r="G49">
        <v>3.7561267184698148E-2</v>
      </c>
    </row>
    <row r="50" spans="2:7" hidden="1" x14ac:dyDescent="0.3">
      <c r="B50" s="6">
        <v>10.5</v>
      </c>
      <c r="C50" s="8">
        <v>9212</v>
      </c>
      <c r="D50" s="3">
        <f>60/40</f>
        <v>1.5</v>
      </c>
      <c r="E50">
        <v>11.966736194008675</v>
      </c>
      <c r="F50">
        <v>0.13</v>
      </c>
      <c r="G50">
        <v>3.6522945782535433E-2</v>
      </c>
    </row>
    <row r="51" spans="2:7" hidden="1" x14ac:dyDescent="0.3">
      <c r="B51" s="80">
        <v>16.399999999999999</v>
      </c>
      <c r="C51" s="78">
        <v>12500</v>
      </c>
      <c r="D51" s="79">
        <f>59/42</f>
        <v>1.4047619047619047</v>
      </c>
      <c r="E51">
        <v>12.45944273726421</v>
      </c>
      <c r="F51">
        <v>0.13</v>
      </c>
      <c r="G51">
        <v>4.9834747975712537E-2</v>
      </c>
    </row>
    <row r="52" spans="2:7" hidden="1" x14ac:dyDescent="0.3">
      <c r="B52" s="6">
        <v>17.399999999999999</v>
      </c>
      <c r="C52" s="8">
        <v>26255</v>
      </c>
      <c r="D52" s="3">
        <f>59/42</f>
        <v>1.4047619047619047</v>
      </c>
      <c r="E52">
        <v>12.506680814868089</v>
      </c>
      <c r="F52">
        <v>0.13</v>
      </c>
      <c r="G52">
        <v>9.8662578116486099E-2</v>
      </c>
    </row>
    <row r="53" spans="2:7" hidden="1" x14ac:dyDescent="0.3">
      <c r="B53" s="80">
        <v>12.8</v>
      </c>
      <c r="C53" s="78">
        <v>98</v>
      </c>
      <c r="D53" s="79">
        <v>0</v>
      </c>
      <c r="E53">
        <v>7.0900768357760917</v>
      </c>
      <c r="F53">
        <v>0.158</v>
      </c>
      <c r="G53">
        <v>5.8000000000000003E-2</v>
      </c>
    </row>
    <row r="54" spans="2:7" hidden="1" x14ac:dyDescent="0.3">
      <c r="B54" s="6">
        <v>14.5</v>
      </c>
      <c r="C54" s="8">
        <v>112</v>
      </c>
      <c r="D54" s="3">
        <v>0</v>
      </c>
      <c r="E54">
        <v>7.3651801260210128</v>
      </c>
      <c r="F54">
        <v>0.16800000000000001</v>
      </c>
      <c r="G54">
        <v>6.2E-2</v>
      </c>
    </row>
    <row r="55" spans="2:7" hidden="1" x14ac:dyDescent="0.3">
      <c r="B55" s="80">
        <v>16.2</v>
      </c>
      <c r="C55" s="78">
        <v>145</v>
      </c>
      <c r="D55" s="79">
        <v>0</v>
      </c>
      <c r="E55">
        <v>7.696212639346407</v>
      </c>
      <c r="F55">
        <v>0.182</v>
      </c>
      <c r="G55">
        <v>7.1999999999999995E-2</v>
      </c>
    </row>
    <row r="56" spans="2:7" hidden="1" x14ac:dyDescent="0.3">
      <c r="B56" s="6">
        <v>18.5</v>
      </c>
      <c r="C56" s="8">
        <v>190</v>
      </c>
      <c r="D56" s="3">
        <v>0</v>
      </c>
      <c r="E56">
        <v>8.2427563457144775</v>
      </c>
      <c r="F56">
        <v>0.192</v>
      </c>
      <c r="G56">
        <v>8.2000000000000003E-2</v>
      </c>
    </row>
    <row r="57" spans="2:7" hidden="1" x14ac:dyDescent="0.3">
      <c r="B57" s="80">
        <v>15.8</v>
      </c>
      <c r="C57" s="78">
        <v>220</v>
      </c>
      <c r="D57" s="79">
        <v>0</v>
      </c>
      <c r="E57">
        <v>8.0709060887878188</v>
      </c>
      <c r="F57">
        <v>0.185</v>
      </c>
      <c r="G57">
        <v>8.5000000000000006E-2</v>
      </c>
    </row>
    <row r="58" spans="2:7" hidden="1" x14ac:dyDescent="0.3">
      <c r="B58" s="6">
        <v>20.2</v>
      </c>
      <c r="C58" s="8">
        <v>260</v>
      </c>
      <c r="D58" s="3">
        <v>0</v>
      </c>
      <c r="E58">
        <v>8.4763711968959825</v>
      </c>
      <c r="F58">
        <v>0.19500000000000001</v>
      </c>
      <c r="G58">
        <v>8.7999999999999995E-2</v>
      </c>
    </row>
    <row r="59" spans="2:7" hidden="1" x14ac:dyDescent="0.3">
      <c r="B59" s="80">
        <v>24.4</v>
      </c>
      <c r="C59" s="78">
        <v>298</v>
      </c>
      <c r="D59" s="79">
        <v>0</v>
      </c>
      <c r="E59">
        <v>8.9074769775287379</v>
      </c>
      <c r="F59">
        <v>0.2</v>
      </c>
      <c r="G59">
        <v>8.951637128266747E-2</v>
      </c>
    </row>
    <row r="60" spans="2:7" hidden="1" x14ac:dyDescent="0.3">
      <c r="B60" s="6">
        <v>17.100000000000001</v>
      </c>
      <c r="C60" s="8">
        <v>125</v>
      </c>
      <c r="D60" s="3">
        <v>0</v>
      </c>
      <c r="E60">
        <v>8.9860962152179393</v>
      </c>
      <c r="F60">
        <v>0.21</v>
      </c>
      <c r="G60">
        <v>3.2358270774009837E-2</v>
      </c>
    </row>
    <row r="61" spans="2:7" hidden="1" x14ac:dyDescent="0.3">
      <c r="B61" s="80">
        <v>12.1</v>
      </c>
      <c r="C61" s="78">
        <v>78</v>
      </c>
      <c r="D61" s="79">
        <v>0.22</v>
      </c>
      <c r="E61">
        <v>8.8431544088851144</v>
      </c>
      <c r="F61">
        <v>0.26</v>
      </c>
      <c r="G61">
        <v>1.8404907975460124E-2</v>
      </c>
    </row>
    <row r="62" spans="2:7" hidden="1" x14ac:dyDescent="0.3">
      <c r="B62" s="6">
        <v>5.2</v>
      </c>
      <c r="C62" s="8">
        <v>20</v>
      </c>
      <c r="D62" s="3">
        <v>0.34</v>
      </c>
      <c r="E62">
        <v>8.7701077321674337</v>
      </c>
      <c r="F62">
        <v>0.28999999999999998</v>
      </c>
      <c r="G62">
        <v>4.3029259896729772E-3</v>
      </c>
    </row>
    <row r="63" spans="2:7" hidden="1" x14ac:dyDescent="0.3">
      <c r="B63" s="80">
        <v>22.5</v>
      </c>
      <c r="C63" s="78">
        <v>92</v>
      </c>
      <c r="D63" s="79">
        <v>0</v>
      </c>
      <c r="E63">
        <v>8.5564139045695189</v>
      </c>
      <c r="F63">
        <v>0.17499999999999999</v>
      </c>
      <c r="G63">
        <v>1.7999999999999999E-2</v>
      </c>
    </row>
    <row r="64" spans="2:7" hidden="1" x14ac:dyDescent="0.3">
      <c r="B64" s="6">
        <v>28</v>
      </c>
      <c r="C64" s="8">
        <v>105</v>
      </c>
      <c r="D64" s="3">
        <v>0</v>
      </c>
      <c r="E64">
        <v>9.0478214424784085</v>
      </c>
      <c r="F64">
        <v>0.185</v>
      </c>
      <c r="G64">
        <v>0.02</v>
      </c>
    </row>
    <row r="65" spans="2:7" hidden="1" x14ac:dyDescent="0.3">
      <c r="B65" s="80">
        <v>30.5</v>
      </c>
      <c r="C65" s="78">
        <v>118</v>
      </c>
      <c r="D65" s="79">
        <v>0</v>
      </c>
      <c r="E65">
        <v>9.1901376646586641</v>
      </c>
      <c r="F65">
        <v>0.192</v>
      </c>
      <c r="G65">
        <v>2.2499999999999999E-2</v>
      </c>
    </row>
    <row r="66" spans="2:7" hidden="1" x14ac:dyDescent="0.3">
      <c r="B66" s="6">
        <v>25</v>
      </c>
      <c r="C66" s="8">
        <v>130</v>
      </c>
      <c r="D66" s="3">
        <v>0</v>
      </c>
      <c r="E66">
        <v>8.8818363050041462</v>
      </c>
      <c r="F66">
        <v>0.17799999999999999</v>
      </c>
      <c r="G66">
        <v>2.4500000000000001E-2</v>
      </c>
    </row>
    <row r="67" spans="2:7" hidden="1" x14ac:dyDescent="0.3">
      <c r="B67" s="80">
        <v>18.5</v>
      </c>
      <c r="C67" s="78">
        <v>140</v>
      </c>
      <c r="D67" s="79">
        <v>0</v>
      </c>
      <c r="E67">
        <v>8.4118326757584114</v>
      </c>
      <c r="F67">
        <v>0.16500000000000001</v>
      </c>
      <c r="G67">
        <v>2.5499999999999998E-2</v>
      </c>
    </row>
    <row r="68" spans="2:7" hidden="1" x14ac:dyDescent="0.3">
      <c r="B68" s="6">
        <v>20</v>
      </c>
      <c r="C68" s="8">
        <v>152</v>
      </c>
      <c r="D68" s="3">
        <v>0</v>
      </c>
      <c r="E68">
        <v>8.4763711968959825</v>
      </c>
      <c r="F68">
        <v>0.16800000000000001</v>
      </c>
      <c r="G68">
        <v>2.6200000000000001E-2</v>
      </c>
    </row>
    <row r="69" spans="2:7" hidden="1" x14ac:dyDescent="0.3">
      <c r="B69" s="80">
        <v>25.2</v>
      </c>
      <c r="C69" s="78">
        <v>840</v>
      </c>
      <c r="D69" s="79">
        <v>0</v>
      </c>
      <c r="E69">
        <v>8.7256697056870429</v>
      </c>
      <c r="F69">
        <v>0.21</v>
      </c>
      <c r="G69">
        <v>2.75E-2</v>
      </c>
    </row>
    <row r="70" spans="2:7" hidden="1" x14ac:dyDescent="0.3">
      <c r="B70" s="6">
        <v>17.5</v>
      </c>
      <c r="C70" s="8">
        <v>1050</v>
      </c>
      <c r="D70" s="3">
        <v>0</v>
      </c>
      <c r="E70">
        <v>9.0801177849262089</v>
      </c>
      <c r="F70">
        <v>0.27</v>
      </c>
      <c r="G70">
        <v>3.1099999999999999E-2</v>
      </c>
    </row>
    <row r="71" spans="2:7" hidden="1" x14ac:dyDescent="0.3">
      <c r="B71" s="80">
        <v>48.9</v>
      </c>
      <c r="C71" s="78">
        <v>1250</v>
      </c>
      <c r="D71" s="79">
        <v>0</v>
      </c>
      <c r="E71">
        <v>9.5511602865908163</v>
      </c>
      <c r="F71">
        <v>0.32</v>
      </c>
      <c r="G71">
        <v>3.5700000000000003E-2</v>
      </c>
    </row>
    <row r="72" spans="2:7" hidden="1" x14ac:dyDescent="0.3">
      <c r="B72" s="6">
        <v>40.200000000000003</v>
      </c>
      <c r="C72" s="8">
        <v>1320</v>
      </c>
      <c r="D72" s="3">
        <v>0</v>
      </c>
      <c r="E72">
        <v>10.003785273851491</v>
      </c>
      <c r="F72">
        <v>0.33</v>
      </c>
      <c r="G72">
        <v>3.8100000000000002E-2</v>
      </c>
    </row>
    <row r="73" spans="2:7" hidden="1" x14ac:dyDescent="0.3">
      <c r="B73" s="80">
        <v>12.5</v>
      </c>
      <c r="C73" s="78">
        <v>210</v>
      </c>
      <c r="D73" s="79">
        <v>0.72</v>
      </c>
      <c r="E73">
        <v>7.5229409180723703</v>
      </c>
      <c r="F73">
        <v>0.19800000000000001</v>
      </c>
      <c r="G73">
        <v>3.4200000000000001E-2</v>
      </c>
    </row>
    <row r="74" spans="2:7" hidden="1" x14ac:dyDescent="0.3">
      <c r="B74" s="6">
        <v>13.2</v>
      </c>
      <c r="C74" s="8">
        <v>238</v>
      </c>
      <c r="D74" s="3">
        <v>0.68</v>
      </c>
      <c r="E74">
        <v>7.6496926237115144</v>
      </c>
      <c r="F74">
        <v>0.20799999999999999</v>
      </c>
      <c r="G74">
        <v>3.6799999999999999E-2</v>
      </c>
    </row>
    <row r="75" spans="2:7" hidden="1" x14ac:dyDescent="0.3">
      <c r="B75" s="80">
        <v>14</v>
      </c>
      <c r="C75" s="78">
        <v>268</v>
      </c>
      <c r="D75" s="79">
        <v>0.65</v>
      </c>
      <c r="E75">
        <v>7.8038433035387724</v>
      </c>
      <c r="F75">
        <v>0.218</v>
      </c>
      <c r="G75">
        <v>3.95E-2</v>
      </c>
    </row>
    <row r="76" spans="2:7" hidden="1" x14ac:dyDescent="0.3">
      <c r="B76" s="6">
        <v>15.2</v>
      </c>
      <c r="C76" s="8">
        <v>298</v>
      </c>
      <c r="D76" s="3">
        <v>0.62</v>
      </c>
      <c r="E76">
        <v>8.2427563457144775</v>
      </c>
      <c r="F76">
        <v>0.22500000000000001</v>
      </c>
      <c r="G76">
        <v>4.2000000000000003E-2</v>
      </c>
    </row>
    <row r="77" spans="2:7" hidden="1" x14ac:dyDescent="0.3">
      <c r="B77" s="80">
        <v>13.8</v>
      </c>
      <c r="C77" s="78">
        <v>318</v>
      </c>
      <c r="D77" s="79">
        <v>0.6</v>
      </c>
      <c r="E77">
        <v>7.696212639346407</v>
      </c>
      <c r="F77">
        <v>0.215</v>
      </c>
      <c r="G77">
        <v>4.3499999999999997E-2</v>
      </c>
    </row>
    <row r="78" spans="2:7" hidden="1" x14ac:dyDescent="0.3">
      <c r="B78" s="6">
        <v>14.5</v>
      </c>
      <c r="C78" s="8">
        <v>328</v>
      </c>
      <c r="D78" s="3">
        <v>0.57999999999999996</v>
      </c>
      <c r="E78">
        <v>7.8632667240095735</v>
      </c>
      <c r="F78">
        <v>0.22</v>
      </c>
      <c r="G78">
        <v>4.48E-2</v>
      </c>
    </row>
    <row r="79" spans="2:7" hidden="1" x14ac:dyDescent="0.3">
      <c r="B79" s="80">
        <v>15.6</v>
      </c>
      <c r="C79" s="78">
        <v>338</v>
      </c>
      <c r="D79" s="79">
        <v>0.57999999999999996</v>
      </c>
      <c r="E79">
        <v>8.0475095109814223</v>
      </c>
      <c r="F79">
        <v>0.25</v>
      </c>
      <c r="G79">
        <v>4.8599999999999997E-2</v>
      </c>
    </row>
    <row r="80" spans="2:7" hidden="1" x14ac:dyDescent="0.3">
      <c r="B80" s="6">
        <v>17.600000000000001</v>
      </c>
      <c r="C80" s="8">
        <v>435</v>
      </c>
      <c r="D80" s="3">
        <v>0.54</v>
      </c>
      <c r="E80">
        <v>8.5310960965852285</v>
      </c>
      <c r="F80">
        <v>0.28000000000000003</v>
      </c>
      <c r="G80">
        <v>5.67E-2</v>
      </c>
    </row>
    <row r="81" spans="2:7" hidden="1" x14ac:dyDescent="0.3">
      <c r="B81" s="80">
        <v>20.399999999999999</v>
      </c>
      <c r="C81" s="78">
        <v>481</v>
      </c>
      <c r="D81" s="79">
        <v>0.54</v>
      </c>
      <c r="E81">
        <v>8.948715833843691</v>
      </c>
      <c r="F81">
        <v>0.27</v>
      </c>
      <c r="G81">
        <v>6.4100000000000004E-2</v>
      </c>
    </row>
    <row r="82" spans="2:7" hidden="1" x14ac:dyDescent="0.3">
      <c r="B82" s="6">
        <v>18.3</v>
      </c>
      <c r="C82" s="8">
        <v>500</v>
      </c>
      <c r="D82" s="3">
        <v>0.52</v>
      </c>
      <c r="E82">
        <v>8.8246778911641979</v>
      </c>
      <c r="F82">
        <v>0.4</v>
      </c>
      <c r="G82">
        <v>6.3500000000000001E-2</v>
      </c>
    </row>
    <row r="83" spans="2:7" hidden="1" x14ac:dyDescent="0.3">
      <c r="B83" s="80">
        <v>10.199999999999999</v>
      </c>
      <c r="C83" s="78">
        <v>210</v>
      </c>
      <c r="D83" s="79">
        <v>1.28</v>
      </c>
      <c r="E83">
        <v>6.6846117276679271</v>
      </c>
      <c r="F83">
        <v>0.128</v>
      </c>
      <c r="G83">
        <v>3.85E-2</v>
      </c>
    </row>
    <row r="84" spans="2:7" hidden="1" x14ac:dyDescent="0.3">
      <c r="B84" s="6">
        <v>11.5</v>
      </c>
      <c r="C84" s="8">
        <v>268</v>
      </c>
      <c r="D84" s="3">
        <v>1.22</v>
      </c>
      <c r="E84">
        <v>6.956545443151569</v>
      </c>
      <c r="F84">
        <v>0.13800000000000001</v>
      </c>
      <c r="G84">
        <v>4.2000000000000003E-2</v>
      </c>
    </row>
    <row r="85" spans="2:7" hidden="1" x14ac:dyDescent="0.3">
      <c r="B85" s="80">
        <v>12.8</v>
      </c>
      <c r="C85" s="78">
        <v>328</v>
      </c>
      <c r="D85" s="79">
        <v>1.1499999999999999</v>
      </c>
      <c r="E85">
        <v>7.2997973667581606</v>
      </c>
      <c r="F85">
        <v>0.14799999999999999</v>
      </c>
      <c r="G85">
        <v>4.6199999999999998E-2</v>
      </c>
    </row>
    <row r="86" spans="2:7" hidden="1" x14ac:dyDescent="0.3">
      <c r="B86" s="6">
        <v>13.5</v>
      </c>
      <c r="C86" s="8">
        <v>392</v>
      </c>
      <c r="D86" s="3">
        <v>1.1000000000000001</v>
      </c>
      <c r="E86">
        <v>7.696212639346407</v>
      </c>
      <c r="F86">
        <v>0.155</v>
      </c>
      <c r="G86">
        <v>4.9799999999999997E-2</v>
      </c>
    </row>
    <row r="87" spans="2:7" hidden="1" x14ac:dyDescent="0.3">
      <c r="B87" s="80">
        <v>12.8</v>
      </c>
      <c r="C87" s="78">
        <v>435</v>
      </c>
      <c r="D87" s="79">
        <v>1.08</v>
      </c>
      <c r="E87">
        <v>7.9373746961632952</v>
      </c>
      <c r="F87">
        <v>0.152</v>
      </c>
      <c r="G87">
        <v>5.2200000000000003E-2</v>
      </c>
    </row>
    <row r="88" spans="2:7" hidden="1" x14ac:dyDescent="0.3">
      <c r="B88" s="6">
        <v>14.5</v>
      </c>
      <c r="C88" s="8">
        <v>458</v>
      </c>
      <c r="D88" s="3">
        <v>1.1200000000000001</v>
      </c>
      <c r="E88">
        <v>8.4763711968959825</v>
      </c>
      <c r="F88">
        <v>0.158</v>
      </c>
      <c r="G88">
        <v>5.4800000000000001E-2</v>
      </c>
    </row>
    <row r="89" spans="2:7" hidden="1" x14ac:dyDescent="0.3">
      <c r="B89" s="80">
        <v>18.600000000000001</v>
      </c>
      <c r="C89" s="78">
        <v>483</v>
      </c>
      <c r="D89" s="79">
        <v>1.1100000000000001</v>
      </c>
      <c r="E89">
        <v>9.6137473636148751</v>
      </c>
      <c r="F89">
        <v>0.16</v>
      </c>
      <c r="G89">
        <v>5.7700000000000001E-2</v>
      </c>
    </row>
    <row r="90" spans="2:7" hidden="1" x14ac:dyDescent="0.3">
      <c r="B90" s="6">
        <v>7.2</v>
      </c>
      <c r="C90" s="8">
        <v>673</v>
      </c>
      <c r="D90" s="3">
        <v>0.92</v>
      </c>
      <c r="E90">
        <v>9.1807756097168767</v>
      </c>
      <c r="F90">
        <v>0.22</v>
      </c>
      <c r="G90">
        <v>6.3600000000000004E-2</v>
      </c>
    </row>
    <row r="91" spans="2:7" hidden="1" x14ac:dyDescent="0.3">
      <c r="B91" s="80">
        <v>11</v>
      </c>
      <c r="C91" s="78">
        <v>695</v>
      </c>
      <c r="D91" s="79">
        <v>0.51</v>
      </c>
      <c r="E91">
        <v>9.4452828414823475</v>
      </c>
      <c r="F91">
        <v>0.17</v>
      </c>
      <c r="G91">
        <v>7.3975518893028211E-2</v>
      </c>
    </row>
    <row r="92" spans="2:7" hidden="1" x14ac:dyDescent="0.3">
      <c r="B92" s="6">
        <v>10.7</v>
      </c>
      <c r="C92" s="8">
        <v>720</v>
      </c>
      <c r="D92" s="3">
        <v>0.59</v>
      </c>
      <c r="E92">
        <v>9.2150423005644306</v>
      </c>
      <c r="F92">
        <v>0.14000000000000001</v>
      </c>
      <c r="G92">
        <v>7.3401977775512287E-2</v>
      </c>
    </row>
    <row r="93" spans="2:7" hidden="1" x14ac:dyDescent="0.3">
      <c r="B93" s="80">
        <v>10.5</v>
      </c>
      <c r="C93" s="78">
        <v>145</v>
      </c>
      <c r="D93" s="79">
        <v>0.48</v>
      </c>
      <c r="E93">
        <v>7.9373746961632952</v>
      </c>
      <c r="F93">
        <v>9.5000000000000001E-2</v>
      </c>
      <c r="G93">
        <v>1.6199999999999999E-2</v>
      </c>
    </row>
    <row r="94" spans="2:7" hidden="1" x14ac:dyDescent="0.3">
      <c r="B94" s="6">
        <v>12.2</v>
      </c>
      <c r="C94" s="8">
        <v>162</v>
      </c>
      <c r="D94" s="3">
        <v>0.45</v>
      </c>
      <c r="E94">
        <v>8.1605182474775049</v>
      </c>
      <c r="F94">
        <v>0.1</v>
      </c>
      <c r="G94">
        <v>1.7500000000000002E-2</v>
      </c>
    </row>
    <row r="95" spans="2:7" hidden="1" x14ac:dyDescent="0.3">
      <c r="B95" s="80">
        <v>14.5</v>
      </c>
      <c r="C95" s="78">
        <v>180</v>
      </c>
      <c r="D95" s="79">
        <v>0.42</v>
      </c>
      <c r="E95">
        <v>8.5564139045695189</v>
      </c>
      <c r="F95">
        <v>0.105</v>
      </c>
      <c r="G95">
        <v>1.8800000000000001E-2</v>
      </c>
    </row>
    <row r="96" spans="2:7" hidden="1" x14ac:dyDescent="0.3">
      <c r="B96" s="6">
        <v>15.8</v>
      </c>
      <c r="C96" s="8">
        <v>198</v>
      </c>
      <c r="D96" s="3">
        <v>0.4</v>
      </c>
      <c r="E96">
        <v>8.7323045710331826</v>
      </c>
      <c r="F96">
        <v>0.108</v>
      </c>
      <c r="G96">
        <v>1.9800000000000002E-2</v>
      </c>
    </row>
    <row r="97" spans="2:7" hidden="1" x14ac:dyDescent="0.3">
      <c r="B97" s="80">
        <v>11.2</v>
      </c>
      <c r="C97" s="78">
        <v>205</v>
      </c>
      <c r="D97" s="79">
        <v>0.38</v>
      </c>
      <c r="E97">
        <v>7.9373746961632952</v>
      </c>
      <c r="F97">
        <v>9.8000000000000004E-2</v>
      </c>
      <c r="G97">
        <v>2.0199999999999999E-2</v>
      </c>
    </row>
    <row r="98" spans="2:7" hidden="1" x14ac:dyDescent="0.3">
      <c r="B98" s="6">
        <v>13.5</v>
      </c>
      <c r="C98" s="8">
        <v>210</v>
      </c>
      <c r="D98" s="3">
        <v>0.35</v>
      </c>
      <c r="E98">
        <v>8.3428398042714598</v>
      </c>
      <c r="F98">
        <v>0.10199999999999999</v>
      </c>
      <c r="G98">
        <v>2.0799999999999999E-2</v>
      </c>
    </row>
    <row r="99" spans="2:7" hidden="1" x14ac:dyDescent="0.3">
      <c r="B99" s="80">
        <v>11.5</v>
      </c>
      <c r="C99" s="78">
        <v>218</v>
      </c>
      <c r="D99" s="79">
        <v>0.2</v>
      </c>
      <c r="E99">
        <v>8.9266503207939394</v>
      </c>
      <c r="F99">
        <v>0.12</v>
      </c>
      <c r="G99">
        <v>1.5079200387355607E-2</v>
      </c>
    </row>
    <row r="100" spans="2:7" hidden="1" x14ac:dyDescent="0.3">
      <c r="B100" s="6">
        <v>12.8</v>
      </c>
      <c r="C100" s="8">
        <v>346.95</v>
      </c>
      <c r="D100" s="3">
        <v>0.15</v>
      </c>
      <c r="E100">
        <v>9.5270471234685807</v>
      </c>
      <c r="F100">
        <v>0.19</v>
      </c>
      <c r="G100">
        <v>2.0963746223564953E-2</v>
      </c>
    </row>
    <row r="101" spans="2:7" hidden="1" x14ac:dyDescent="0.3">
      <c r="B101" s="80">
        <v>21.7</v>
      </c>
      <c r="C101" s="78">
        <v>258.18</v>
      </c>
      <c r="D101" s="79">
        <v>0.15</v>
      </c>
      <c r="E101">
        <v>9.7596749171702797</v>
      </c>
      <c r="F101">
        <v>0.22</v>
      </c>
      <c r="G101">
        <v>1.426645300326021E-2</v>
      </c>
    </row>
    <row r="102" spans="2:7" hidden="1" x14ac:dyDescent="0.3">
      <c r="B102" s="6">
        <v>15.9</v>
      </c>
      <c r="C102" s="8">
        <v>319.51</v>
      </c>
      <c r="D102" s="3">
        <v>0.2</v>
      </c>
      <c r="E102">
        <v>9.6485953029073386</v>
      </c>
      <c r="F102">
        <v>0.22</v>
      </c>
      <c r="G102">
        <v>1.5210416071598591E-2</v>
      </c>
    </row>
    <row r="103" spans="2:7" hidden="1" x14ac:dyDescent="0.3">
      <c r="B103" s="80">
        <v>14.5</v>
      </c>
      <c r="C103" s="78">
        <v>1200</v>
      </c>
      <c r="D103" s="79">
        <v>0.92</v>
      </c>
      <c r="E103">
        <v>9.1269587630371323</v>
      </c>
      <c r="F103">
        <v>0.105</v>
      </c>
      <c r="G103">
        <v>5.8200000000000002E-2</v>
      </c>
    </row>
    <row r="104" spans="2:7" hidden="1" x14ac:dyDescent="0.3">
      <c r="B104" s="6">
        <v>15.2</v>
      </c>
      <c r="C104" s="8">
        <v>1350</v>
      </c>
      <c r="D104" s="3">
        <v>0.88</v>
      </c>
      <c r="E104">
        <v>9.259130536145614</v>
      </c>
      <c r="F104">
        <v>0.108</v>
      </c>
      <c r="G104">
        <v>6.1800000000000001E-2</v>
      </c>
    </row>
    <row r="105" spans="2:7" hidden="1" x14ac:dyDescent="0.3">
      <c r="B105" s="80">
        <v>15.8</v>
      </c>
      <c r="C105" s="78">
        <v>1500</v>
      </c>
      <c r="D105" s="79">
        <v>0.85</v>
      </c>
      <c r="E105">
        <v>9.375854810453756</v>
      </c>
      <c r="F105">
        <v>0.112</v>
      </c>
      <c r="G105">
        <v>6.5199999999999994E-2</v>
      </c>
    </row>
    <row r="106" spans="2:7" hidden="1" x14ac:dyDescent="0.3">
      <c r="B106" s="6">
        <v>16.2</v>
      </c>
      <c r="C106" s="8">
        <v>1680</v>
      </c>
      <c r="D106" s="3">
        <v>0.82</v>
      </c>
      <c r="E106">
        <v>9.4879721085744624</v>
      </c>
      <c r="F106">
        <v>0.115</v>
      </c>
      <c r="G106">
        <v>6.88E-2</v>
      </c>
    </row>
    <row r="107" spans="2:7" hidden="1" x14ac:dyDescent="0.3">
      <c r="B107" s="80">
        <v>14.5</v>
      </c>
      <c r="C107" s="78">
        <v>1800</v>
      </c>
      <c r="D107" s="79">
        <v>0.85</v>
      </c>
      <c r="E107">
        <v>9.259130536145614</v>
      </c>
      <c r="F107">
        <v>0.11</v>
      </c>
      <c r="G107">
        <v>7.1199999999999999E-2</v>
      </c>
    </row>
    <row r="108" spans="2:7" hidden="1" x14ac:dyDescent="0.3">
      <c r="B108" s="6">
        <v>17.5</v>
      </c>
      <c r="C108" s="8">
        <v>1850</v>
      </c>
      <c r="D108" s="3">
        <v>0.8</v>
      </c>
      <c r="E108">
        <v>9.6677652190150578</v>
      </c>
      <c r="F108">
        <v>0.112</v>
      </c>
      <c r="G108">
        <v>7.2800000000000004E-2</v>
      </c>
    </row>
    <row r="109" spans="2:7" hidden="1" x14ac:dyDescent="0.3">
      <c r="B109" s="80">
        <v>18</v>
      </c>
      <c r="C109" s="78">
        <v>1906</v>
      </c>
      <c r="D109" s="79">
        <v>0.76</v>
      </c>
      <c r="E109">
        <v>10.070780070310322</v>
      </c>
      <c r="F109">
        <v>0.13</v>
      </c>
      <c r="G109">
        <v>7.6172967788346257E-2</v>
      </c>
    </row>
    <row r="110" spans="2:7" hidden="1" x14ac:dyDescent="0.3">
      <c r="B110" s="6">
        <v>10.5</v>
      </c>
      <c r="C110" s="8">
        <v>2938</v>
      </c>
      <c r="D110" s="3">
        <v>0.86</v>
      </c>
      <c r="E110">
        <v>10.149839688987219</v>
      </c>
      <c r="F110">
        <v>0.18</v>
      </c>
      <c r="G110">
        <v>9.8228017385489808E-2</v>
      </c>
    </row>
    <row r="111" spans="2:7" hidden="1" x14ac:dyDescent="0.3">
      <c r="B111" s="80">
        <v>33.299999999999997</v>
      </c>
      <c r="C111" s="78">
        <v>3855</v>
      </c>
      <c r="D111" s="79">
        <v>0.84</v>
      </c>
      <c r="E111">
        <v>11.083864143006878</v>
      </c>
      <c r="F111">
        <v>0.12</v>
      </c>
      <c r="G111">
        <v>0.11544681360804983</v>
      </c>
    </row>
    <row r="112" spans="2:7" hidden="1" x14ac:dyDescent="0.3">
      <c r="B112" s="6">
        <v>30.6</v>
      </c>
      <c r="C112" s="8">
        <v>4388</v>
      </c>
      <c r="D112" s="3">
        <v>0.43</v>
      </c>
      <c r="E112">
        <v>11.224549818718403</v>
      </c>
      <c r="F112">
        <v>0.16</v>
      </c>
      <c r="G112">
        <v>0.11997921964290596</v>
      </c>
    </row>
    <row r="113" spans="2:7" hidden="1" x14ac:dyDescent="0.3">
      <c r="B113" s="80">
        <v>13.5</v>
      </c>
      <c r="C113" s="78">
        <v>185</v>
      </c>
      <c r="D113" s="79">
        <v>0.62</v>
      </c>
      <c r="E113">
        <v>7.9373746961632952</v>
      </c>
      <c r="F113">
        <v>0.105</v>
      </c>
      <c r="G113">
        <v>1.95E-2</v>
      </c>
    </row>
    <row r="114" spans="2:7" hidden="1" x14ac:dyDescent="0.3">
      <c r="B114" s="6">
        <v>14.8</v>
      </c>
      <c r="C114" s="8">
        <v>208</v>
      </c>
      <c r="D114" s="3">
        <v>0.6</v>
      </c>
      <c r="E114">
        <v>8.1605182474775049</v>
      </c>
      <c r="F114">
        <v>0.11</v>
      </c>
      <c r="G114">
        <v>2.1499999999999998E-2</v>
      </c>
    </row>
    <row r="115" spans="2:7" hidden="1" x14ac:dyDescent="0.3">
      <c r="B115" s="80">
        <v>15.5</v>
      </c>
      <c r="C115" s="78">
        <v>232</v>
      </c>
      <c r="D115" s="79">
        <v>0.57999999999999996</v>
      </c>
      <c r="E115">
        <v>8.3428398042714598</v>
      </c>
      <c r="F115">
        <v>0.115</v>
      </c>
      <c r="G115">
        <v>2.35E-2</v>
      </c>
    </row>
    <row r="116" spans="2:7" hidden="1" x14ac:dyDescent="0.3">
      <c r="B116" s="6">
        <v>15.8</v>
      </c>
      <c r="C116" s="8">
        <v>258</v>
      </c>
      <c r="D116" s="3">
        <v>0.56000000000000005</v>
      </c>
      <c r="E116">
        <v>8.4763711968959825</v>
      </c>
      <c r="F116">
        <v>0.11799999999999999</v>
      </c>
      <c r="G116">
        <v>2.52E-2</v>
      </c>
    </row>
    <row r="117" spans="2:7" hidden="1" x14ac:dyDescent="0.3">
      <c r="B117" s="80">
        <v>12.8</v>
      </c>
      <c r="C117" s="78">
        <v>272</v>
      </c>
      <c r="D117" s="79">
        <v>0.57999999999999996</v>
      </c>
      <c r="E117">
        <v>8.0709060887878188</v>
      </c>
      <c r="F117">
        <v>0.108</v>
      </c>
      <c r="G117">
        <v>2.6200000000000001E-2</v>
      </c>
    </row>
    <row r="118" spans="2:7" hidden="1" x14ac:dyDescent="0.3">
      <c r="B118" s="6">
        <v>14.2</v>
      </c>
      <c r="C118" s="8">
        <v>285</v>
      </c>
      <c r="D118" s="3">
        <v>0.56000000000000005</v>
      </c>
      <c r="E118">
        <v>8.2427563457144775</v>
      </c>
      <c r="F118">
        <v>0.112</v>
      </c>
      <c r="G118">
        <v>2.7199999999999998E-2</v>
      </c>
    </row>
    <row r="119" spans="2:7" hidden="1" x14ac:dyDescent="0.3">
      <c r="B119" s="80">
        <v>12</v>
      </c>
      <c r="C119" s="78">
        <v>308</v>
      </c>
      <c r="D119" s="79">
        <v>0.54</v>
      </c>
      <c r="E119">
        <v>8.6052040687389511</v>
      </c>
      <c r="F119">
        <v>0.13</v>
      </c>
      <c r="G119">
        <v>1.5730337078651686E-2</v>
      </c>
    </row>
    <row r="120" spans="2:7" hidden="1" x14ac:dyDescent="0.3">
      <c r="B120" s="6">
        <v>19.8</v>
      </c>
      <c r="C120" s="8">
        <v>743</v>
      </c>
      <c r="D120" s="3">
        <v>0.55000000000000004</v>
      </c>
      <c r="E120">
        <v>9.0701583413763203</v>
      </c>
      <c r="F120">
        <v>0.14000000000000001</v>
      </c>
      <c r="G120">
        <v>4.3170065655685319E-2</v>
      </c>
    </row>
    <row r="121" spans="2:7" hidden="1" x14ac:dyDescent="0.3">
      <c r="B121" s="80">
        <v>38.4</v>
      </c>
      <c r="C121" s="78">
        <v>305.95999999999998</v>
      </c>
      <c r="D121" s="79">
        <v>0.56999999999999995</v>
      </c>
      <c r="E121">
        <v>9.7630178597647337</v>
      </c>
      <c r="F121">
        <v>0.16</v>
      </c>
      <c r="G121">
        <v>1.3883922493987384E-2</v>
      </c>
    </row>
    <row r="122" spans="2:7" hidden="1" x14ac:dyDescent="0.3">
      <c r="B122" s="6">
        <v>30.6</v>
      </c>
      <c r="C122" s="8">
        <v>645</v>
      </c>
      <c r="D122" s="3">
        <v>0.47</v>
      </c>
      <c r="E122">
        <v>9.7196848994603755</v>
      </c>
      <c r="F122">
        <v>0.16</v>
      </c>
      <c r="G122">
        <v>2.5211069418386491E-2</v>
      </c>
    </row>
    <row r="123" spans="2:7" hidden="1" x14ac:dyDescent="0.3">
      <c r="B123" s="80">
        <v>22.5</v>
      </c>
      <c r="C123" s="78">
        <v>2200</v>
      </c>
      <c r="D123" s="79">
        <v>1.62</v>
      </c>
      <c r="E123">
        <v>10.819778284410283</v>
      </c>
      <c r="F123">
        <v>9.5000000000000001E-2</v>
      </c>
      <c r="G123">
        <v>4.5199999999999997E-2</v>
      </c>
    </row>
    <row r="124" spans="2:7" hidden="1" x14ac:dyDescent="0.3">
      <c r="B124" s="6">
        <v>24.2</v>
      </c>
      <c r="C124" s="8">
        <v>2580</v>
      </c>
      <c r="D124" s="3">
        <v>1.58</v>
      </c>
      <c r="E124">
        <v>11.002099841204238</v>
      </c>
      <c r="F124">
        <v>9.8000000000000004E-2</v>
      </c>
      <c r="G124">
        <v>4.8800000000000003E-2</v>
      </c>
    </row>
    <row r="125" spans="2:7" hidden="1" x14ac:dyDescent="0.3">
      <c r="B125" s="80">
        <v>26.5</v>
      </c>
      <c r="C125" s="78">
        <v>3050</v>
      </c>
      <c r="D125" s="79">
        <v>1.52</v>
      </c>
      <c r="E125">
        <v>11.289781913656018</v>
      </c>
      <c r="F125">
        <v>0.10199999999999999</v>
      </c>
      <c r="G125">
        <v>5.28E-2</v>
      </c>
    </row>
    <row r="126" spans="2:7" hidden="1" x14ac:dyDescent="0.3">
      <c r="B126" s="6">
        <v>25.8</v>
      </c>
      <c r="C126" s="8">
        <v>3480</v>
      </c>
      <c r="D126" s="3">
        <v>1.48</v>
      </c>
      <c r="E126">
        <v>11.461632170582678</v>
      </c>
      <c r="F126">
        <v>0.1</v>
      </c>
      <c r="G126">
        <v>5.5800000000000002E-2</v>
      </c>
    </row>
    <row r="127" spans="2:7" hidden="1" x14ac:dyDescent="0.3">
      <c r="B127" s="80">
        <v>22.5</v>
      </c>
      <c r="C127" s="78">
        <v>3680</v>
      </c>
      <c r="D127" s="79">
        <v>1.52</v>
      </c>
      <c r="E127">
        <v>11.225243392518447</v>
      </c>
      <c r="F127">
        <v>9.5000000000000001E-2</v>
      </c>
      <c r="G127">
        <v>5.7200000000000001E-2</v>
      </c>
    </row>
    <row r="128" spans="2:7" hidden="1" x14ac:dyDescent="0.3">
      <c r="B128" s="6">
        <v>25.8</v>
      </c>
      <c r="C128" s="8">
        <v>3750</v>
      </c>
      <c r="D128" s="3">
        <v>1.5</v>
      </c>
      <c r="E128">
        <v>11.512925464970229</v>
      </c>
      <c r="F128">
        <v>0.108</v>
      </c>
      <c r="G128">
        <v>3.7999999999999999E-2</v>
      </c>
    </row>
    <row r="129" spans="2:7" hidden="1" x14ac:dyDescent="0.3">
      <c r="B129" s="80">
        <v>29.3</v>
      </c>
      <c r="C129" s="78">
        <v>3813</v>
      </c>
      <c r="D129" s="79">
        <v>1.48</v>
      </c>
      <c r="E129">
        <v>12.018665972751595</v>
      </c>
      <c r="F129">
        <v>0.11</v>
      </c>
      <c r="G129">
        <v>3.8250489040477502E-2</v>
      </c>
    </row>
    <row r="130" spans="2:7" hidden="1" x14ac:dyDescent="0.3">
      <c r="B130" s="6">
        <v>25.6</v>
      </c>
      <c r="C130" s="8">
        <v>9141</v>
      </c>
      <c r="D130" s="3">
        <v>1.65</v>
      </c>
      <c r="E130">
        <v>11.822648594545413</v>
      </c>
      <c r="F130">
        <v>0.1</v>
      </c>
      <c r="G130">
        <v>7.9552673948044036E-2</v>
      </c>
    </row>
    <row r="131" spans="2:7" hidden="1" x14ac:dyDescent="0.3">
      <c r="B131" s="80">
        <v>34.700000000000003</v>
      </c>
      <c r="C131" s="78">
        <v>7416</v>
      </c>
      <c r="D131" s="79">
        <v>1.69</v>
      </c>
      <c r="E131">
        <v>12.576513615285879</v>
      </c>
      <c r="F131">
        <v>0.13</v>
      </c>
      <c r="G131">
        <v>6.236282449103156E-2</v>
      </c>
    </row>
    <row r="132" spans="2:7" hidden="1" x14ac:dyDescent="0.3">
      <c r="B132" s="6">
        <v>23.3</v>
      </c>
      <c r="C132" s="8">
        <v>8048</v>
      </c>
      <c r="D132" s="3">
        <v>1.69</v>
      </c>
      <c r="E132">
        <v>12.450305929970243</v>
      </c>
      <c r="F132">
        <v>0.14000000000000001</v>
      </c>
      <c r="G132">
        <v>5.946856619277037E-2</v>
      </c>
    </row>
    <row r="133" spans="2:7" hidden="1" x14ac:dyDescent="0.3">
      <c r="B133" s="80">
        <v>18.5</v>
      </c>
      <c r="C133" s="78">
        <v>12.5</v>
      </c>
      <c r="D133" s="79">
        <v>0.68</v>
      </c>
      <c r="E133">
        <v>6.7452363494843626</v>
      </c>
      <c r="F133">
        <v>5.8000000000000003E-2</v>
      </c>
      <c r="G133">
        <v>2.8500000000000001E-2</v>
      </c>
    </row>
    <row r="134" spans="2:7" hidden="1" x14ac:dyDescent="0.3">
      <c r="B134" s="6">
        <v>17.8</v>
      </c>
      <c r="C134" s="8">
        <v>13.8</v>
      </c>
      <c r="D134" s="3">
        <v>0.65</v>
      </c>
      <c r="E134">
        <v>6.8243736700430864</v>
      </c>
      <c r="F134">
        <v>6.2E-2</v>
      </c>
      <c r="G134">
        <v>3.0200000000000001E-2</v>
      </c>
    </row>
    <row r="135" spans="2:7" hidden="1" x14ac:dyDescent="0.3">
      <c r="B135" s="80">
        <v>16.5</v>
      </c>
      <c r="C135" s="78">
        <v>14.5</v>
      </c>
      <c r="D135" s="79">
        <v>0.62</v>
      </c>
      <c r="E135">
        <v>6.956545443151569</v>
      </c>
      <c r="F135">
        <v>6.5000000000000002E-2</v>
      </c>
      <c r="G135">
        <v>3.15E-2</v>
      </c>
    </row>
    <row r="136" spans="2:7" hidden="1" x14ac:dyDescent="0.3">
      <c r="B136" s="6">
        <v>15.8</v>
      </c>
      <c r="C136" s="8">
        <v>15.2</v>
      </c>
      <c r="D136" s="3">
        <v>0.6</v>
      </c>
      <c r="E136">
        <v>6.8875525716646173</v>
      </c>
      <c r="F136">
        <v>6.8000000000000005E-2</v>
      </c>
      <c r="G136">
        <v>3.2800000000000003E-2</v>
      </c>
    </row>
    <row r="137" spans="2:7" hidden="1" x14ac:dyDescent="0.3">
      <c r="B137" s="80">
        <v>12.5</v>
      </c>
      <c r="C137" s="78">
        <v>16</v>
      </c>
      <c r="D137" s="79">
        <v>0.62</v>
      </c>
      <c r="E137">
        <v>6.522092798170152</v>
      </c>
      <c r="F137">
        <v>5.5E-2</v>
      </c>
      <c r="G137">
        <v>3.3500000000000002E-2</v>
      </c>
    </row>
    <row r="138" spans="2:7" hidden="1" x14ac:dyDescent="0.3">
      <c r="B138" s="6">
        <v>14.2</v>
      </c>
      <c r="C138" s="8">
        <v>17.5</v>
      </c>
      <c r="D138" s="3">
        <v>0.57999999999999996</v>
      </c>
      <c r="E138">
        <v>6.7093043402582984</v>
      </c>
      <c r="F138">
        <v>5.8000000000000003E-2</v>
      </c>
      <c r="G138">
        <v>3.4200000000000001E-2</v>
      </c>
    </row>
    <row r="139" spans="2:7" hidden="1" x14ac:dyDescent="0.3">
      <c r="B139" s="80">
        <v>43.5</v>
      </c>
      <c r="C139" s="78">
        <v>19.57</v>
      </c>
      <c r="D139" s="79">
        <v>0.54</v>
      </c>
      <c r="E139">
        <v>6.9697906699015899</v>
      </c>
      <c r="F139">
        <v>7.0000000000000007E-2</v>
      </c>
      <c r="G139">
        <v>7.3518915060670946E-3</v>
      </c>
    </row>
    <row r="140" spans="2:7" hidden="1" x14ac:dyDescent="0.3">
      <c r="B140" s="6">
        <v>163.30000000000001</v>
      </c>
      <c r="C140" s="8">
        <v>48.57</v>
      </c>
      <c r="D140" s="3">
        <v>0.73</v>
      </c>
      <c r="E140">
        <v>7.2196420401307355</v>
      </c>
      <c r="F140">
        <v>7.0000000000000007E-2</v>
      </c>
      <c r="G140">
        <v>1.453978308571497E-2</v>
      </c>
    </row>
    <row r="141" spans="2:7" hidden="1" x14ac:dyDescent="0.3">
      <c r="B141" s="80">
        <v>70.599999999999994</v>
      </c>
      <c r="C141" s="78">
        <v>79.36</v>
      </c>
      <c r="D141" s="79">
        <v>0.26</v>
      </c>
      <c r="E141">
        <v>8.3485378253860976</v>
      </c>
      <c r="F141">
        <v>0.11</v>
      </c>
      <c r="G141">
        <v>1.916917473031271E-2</v>
      </c>
    </row>
    <row r="142" spans="2:7" hidden="1" x14ac:dyDescent="0.3">
      <c r="B142" s="6">
        <v>29.6</v>
      </c>
      <c r="C142" s="8">
        <v>96.788300000000007</v>
      </c>
      <c r="D142" s="3">
        <v>0.32</v>
      </c>
      <c r="E142">
        <v>8.3272426074577925</v>
      </c>
      <c r="F142">
        <v>0.11</v>
      </c>
      <c r="G142">
        <v>2.2004842559963624E-2</v>
      </c>
    </row>
    <row r="143" spans="2:7" hidden="1" x14ac:dyDescent="0.3">
      <c r="B143" s="80">
        <v>12.5</v>
      </c>
      <c r="C143" s="78">
        <v>480</v>
      </c>
      <c r="D143" s="79">
        <v>2.85</v>
      </c>
      <c r="E143">
        <v>6.3969296552161463</v>
      </c>
      <c r="F143">
        <v>7.4999999999999997E-2</v>
      </c>
      <c r="G143">
        <v>3.85E-2</v>
      </c>
    </row>
    <row r="144" spans="2:7" hidden="1" x14ac:dyDescent="0.3">
      <c r="B144" s="6">
        <v>13.8</v>
      </c>
      <c r="C144" s="8">
        <v>620</v>
      </c>
      <c r="D144" s="3">
        <v>2.72</v>
      </c>
      <c r="E144">
        <v>6.7452363494843626</v>
      </c>
      <c r="F144">
        <v>0.08</v>
      </c>
      <c r="G144">
        <v>4.2799999999999998E-2</v>
      </c>
    </row>
    <row r="145" spans="2:7" hidden="1" x14ac:dyDescent="0.3">
      <c r="B145" s="80">
        <v>15.2</v>
      </c>
      <c r="C145" s="78">
        <v>780</v>
      </c>
      <c r="D145" s="79">
        <v>2.62</v>
      </c>
      <c r="E145">
        <v>7.0900768357760917</v>
      </c>
      <c r="F145">
        <v>8.5000000000000006E-2</v>
      </c>
      <c r="G145">
        <v>4.7199999999999999E-2</v>
      </c>
    </row>
    <row r="146" spans="2:7" hidden="1" x14ac:dyDescent="0.3">
      <c r="B146" s="6">
        <v>16.5</v>
      </c>
      <c r="C146" s="8">
        <v>980</v>
      </c>
      <c r="D146" s="3">
        <v>2.52</v>
      </c>
      <c r="E146">
        <v>7.4085305668946262</v>
      </c>
      <c r="F146">
        <v>8.7999999999999995E-2</v>
      </c>
      <c r="G146">
        <v>5.1499999999999997E-2</v>
      </c>
    </row>
    <row r="147" spans="2:7" hidden="1" x14ac:dyDescent="0.3">
      <c r="B147" s="80">
        <v>16.2</v>
      </c>
      <c r="C147" s="78">
        <v>1180</v>
      </c>
      <c r="D147" s="79">
        <v>2.4500000000000002</v>
      </c>
      <c r="E147">
        <v>7.5755846515577927</v>
      </c>
      <c r="F147">
        <v>0.09</v>
      </c>
      <c r="G147">
        <v>5.4800000000000001E-2</v>
      </c>
    </row>
    <row r="148" spans="2:7" hidden="1" x14ac:dyDescent="0.3">
      <c r="B148" s="6">
        <v>18.5</v>
      </c>
      <c r="C148" s="8">
        <v>1350</v>
      </c>
      <c r="D148" s="3">
        <v>2.35</v>
      </c>
      <c r="E148">
        <v>7.8632667240095735</v>
      </c>
      <c r="F148">
        <v>9.5000000000000001E-2</v>
      </c>
      <c r="G148">
        <v>5.7799999999999997E-2</v>
      </c>
    </row>
    <row r="149" spans="2:7" hidden="1" x14ac:dyDescent="0.3">
      <c r="B149" s="80">
        <v>28.8</v>
      </c>
      <c r="C149" s="78">
        <v>1549</v>
      </c>
      <c r="D149" s="79">
        <v>2.27</v>
      </c>
      <c r="E149">
        <v>8.1496017357361552</v>
      </c>
      <c r="F149">
        <v>0.11</v>
      </c>
      <c r="G149">
        <v>0.33343450455162854</v>
      </c>
    </row>
    <row r="150" spans="2:7" hidden="1" x14ac:dyDescent="0.3">
      <c r="B150" s="6">
        <v>33</v>
      </c>
      <c r="C150" s="8">
        <v>2738</v>
      </c>
      <c r="D150" s="3">
        <v>2.0299999999999998</v>
      </c>
      <c r="E150">
        <v>8.316055720364643</v>
      </c>
      <c r="F150">
        <v>0.17</v>
      </c>
      <c r="G150">
        <v>0.48122721728340384</v>
      </c>
    </row>
    <row r="151" spans="2:7" hidden="1" x14ac:dyDescent="0.3">
      <c r="B151" s="80">
        <v>42.7</v>
      </c>
      <c r="C151" s="78">
        <f>248+1822</f>
        <v>2070</v>
      </c>
      <c r="D151" s="79">
        <v>0.69</v>
      </c>
      <c r="E151">
        <v>10.84978358889661</v>
      </c>
      <c r="F151">
        <v>0.16</v>
      </c>
      <c r="G151">
        <v>0.18813050986094701</v>
      </c>
    </row>
    <row r="152" spans="2:7" hidden="1" x14ac:dyDescent="0.3">
      <c r="B152" s="6">
        <v>50.3</v>
      </c>
      <c r="C152" s="8">
        <v>2075</v>
      </c>
      <c r="D152" s="3">
        <v>0.66</v>
      </c>
      <c r="E152">
        <v>11.114803331117322</v>
      </c>
      <c r="F152">
        <v>0.14000000000000001</v>
      </c>
      <c r="G152">
        <v>0.19784515636918382</v>
      </c>
    </row>
    <row r="153" spans="2:7" hidden="1" x14ac:dyDescent="0.3">
      <c r="B153" s="80">
        <v>8.1999999999999993</v>
      </c>
      <c r="C153" s="78">
        <v>320</v>
      </c>
      <c r="D153" s="79">
        <v>0.62</v>
      </c>
      <c r="E153">
        <v>8.0709060887878188</v>
      </c>
      <c r="F153">
        <v>0.14199999999999999</v>
      </c>
      <c r="G153">
        <v>2.4199999999999999E-2</v>
      </c>
    </row>
    <row r="154" spans="2:7" hidden="1" x14ac:dyDescent="0.3">
      <c r="B154" s="6">
        <v>9</v>
      </c>
      <c r="C154" s="8">
        <v>368</v>
      </c>
      <c r="D154" s="3">
        <v>0.57999999999999996</v>
      </c>
      <c r="E154">
        <v>8.2427563457144775</v>
      </c>
      <c r="F154">
        <v>0.14799999999999999</v>
      </c>
      <c r="G154">
        <v>2.6800000000000001E-2</v>
      </c>
    </row>
    <row r="155" spans="2:7" hidden="1" x14ac:dyDescent="0.3">
      <c r="B155" s="80">
        <v>9.8000000000000007</v>
      </c>
      <c r="C155" s="78">
        <v>422</v>
      </c>
      <c r="D155" s="79">
        <v>0.55000000000000004</v>
      </c>
      <c r="E155">
        <v>8.4118326757584114</v>
      </c>
      <c r="F155">
        <v>0.155</v>
      </c>
      <c r="G155">
        <v>2.9499999999999998E-2</v>
      </c>
    </row>
    <row r="156" spans="2:7" hidden="1" x14ac:dyDescent="0.3">
      <c r="B156" s="6">
        <v>10.5</v>
      </c>
      <c r="C156" s="8">
        <v>480</v>
      </c>
      <c r="D156" s="3">
        <v>0.52</v>
      </c>
      <c r="E156">
        <v>8.5564139045695189</v>
      </c>
      <c r="F156">
        <v>0.16200000000000001</v>
      </c>
      <c r="G156">
        <v>3.2199999999999999E-2</v>
      </c>
    </row>
    <row r="157" spans="2:7" hidden="1" x14ac:dyDescent="0.3">
      <c r="B157" s="80">
        <v>9.8000000000000007</v>
      </c>
      <c r="C157" s="78">
        <v>520</v>
      </c>
      <c r="D157" s="79">
        <v>0.5</v>
      </c>
      <c r="E157">
        <v>8.4763711968959825</v>
      </c>
      <c r="F157">
        <v>0.158</v>
      </c>
      <c r="G157">
        <v>3.4200000000000001E-2</v>
      </c>
    </row>
    <row r="158" spans="2:7" hidden="1" x14ac:dyDescent="0.3">
      <c r="B158" s="6">
        <v>11.5</v>
      </c>
      <c r="C158" s="8">
        <v>550</v>
      </c>
      <c r="D158" s="3">
        <v>0.48</v>
      </c>
      <c r="E158">
        <v>8.9226582995244019</v>
      </c>
      <c r="F158">
        <v>0.16200000000000001</v>
      </c>
      <c r="G158">
        <v>3.5799999999999998E-2</v>
      </c>
    </row>
    <row r="159" spans="2:7" hidden="1" x14ac:dyDescent="0.3">
      <c r="B159" s="80">
        <v>5.9</v>
      </c>
      <c r="C159" s="78">
        <v>584</v>
      </c>
      <c r="D159" s="79">
        <v>1.17</v>
      </c>
      <c r="E159">
        <v>10.320354083368734</v>
      </c>
      <c r="F159">
        <v>0.16</v>
      </c>
      <c r="G159">
        <v>3.5799999999999998E-2</v>
      </c>
    </row>
    <row r="160" spans="2:7" hidden="1" x14ac:dyDescent="0.3">
      <c r="B160" s="6">
        <v>9.9</v>
      </c>
      <c r="C160" s="8">
        <v>721</v>
      </c>
      <c r="D160" s="3">
        <v>0.99</v>
      </c>
      <c r="E160">
        <v>10.705825404334252</v>
      </c>
      <c r="F160">
        <v>0.17</v>
      </c>
      <c r="G160">
        <v>4.1099999999999998E-2</v>
      </c>
    </row>
    <row r="161" spans="2:7" hidden="1" x14ac:dyDescent="0.3">
      <c r="B161" s="80">
        <v>36.200000000000003</v>
      </c>
      <c r="C161" s="78">
        <v>701</v>
      </c>
      <c r="D161" s="79">
        <v>0.76</v>
      </c>
      <c r="E161">
        <v>11.168785909439716</v>
      </c>
      <c r="F161">
        <v>0.18</v>
      </c>
      <c r="G161">
        <v>4.7600000000000003E-2</v>
      </c>
    </row>
    <row r="162" spans="2:7" hidden="1" x14ac:dyDescent="0.3">
      <c r="B162" s="6">
        <v>56.4</v>
      </c>
      <c r="C162" s="8">
        <v>750</v>
      </c>
      <c r="D162" s="3">
        <v>0.62</v>
      </c>
      <c r="E162">
        <v>11.018350415789994</v>
      </c>
      <c r="F162">
        <v>0.15</v>
      </c>
      <c r="G162">
        <v>4.9099999999999998E-2</v>
      </c>
    </row>
    <row r="163" spans="2:7" hidden="1" x14ac:dyDescent="0.3">
      <c r="B163" s="80">
        <v>22.5</v>
      </c>
      <c r="C163" s="78">
        <v>3200</v>
      </c>
      <c r="D163" s="79">
        <v>0.78</v>
      </c>
      <c r="E163">
        <v>8.7795574558837277</v>
      </c>
      <c r="F163">
        <v>5.8000000000000003E-2</v>
      </c>
      <c r="G163">
        <v>3.2199999999999999E-2</v>
      </c>
    </row>
    <row r="164" spans="2:7" hidden="1" x14ac:dyDescent="0.3">
      <c r="B164" s="6">
        <v>24.5</v>
      </c>
      <c r="C164" s="8">
        <v>3800</v>
      </c>
      <c r="D164" s="3">
        <v>0.75</v>
      </c>
      <c r="E164">
        <v>9.0118894332523443</v>
      </c>
      <c r="F164">
        <v>6.2E-2</v>
      </c>
      <c r="G164">
        <v>3.6200000000000003E-2</v>
      </c>
    </row>
    <row r="165" spans="2:7" hidden="1" x14ac:dyDescent="0.3">
      <c r="B165" s="80">
        <v>28.5</v>
      </c>
      <c r="C165" s="78">
        <v>4500</v>
      </c>
      <c r="D165" s="79">
        <v>0.72</v>
      </c>
      <c r="E165">
        <v>9.259130536145614</v>
      </c>
      <c r="F165">
        <v>6.5000000000000002E-2</v>
      </c>
      <c r="G165">
        <v>4.02E-2</v>
      </c>
    </row>
    <row r="166" spans="2:7" hidden="1" x14ac:dyDescent="0.3">
      <c r="B166" s="6">
        <v>35.5</v>
      </c>
      <c r="C166" s="8">
        <v>5500</v>
      </c>
      <c r="D166" s="3">
        <v>0.7</v>
      </c>
      <c r="E166">
        <v>9.7981270368783022</v>
      </c>
      <c r="F166">
        <v>6.8000000000000005E-2</v>
      </c>
      <c r="G166">
        <v>4.48E-2</v>
      </c>
    </row>
    <row r="167" spans="2:7" hidden="1" x14ac:dyDescent="0.3">
      <c r="B167" s="80">
        <v>28.5</v>
      </c>
      <c r="C167" s="78">
        <v>6800</v>
      </c>
      <c r="D167" s="79">
        <v>0.68</v>
      </c>
      <c r="E167">
        <v>9.3926619287701367</v>
      </c>
      <c r="F167">
        <v>5.5E-2</v>
      </c>
      <c r="G167">
        <v>4.8800000000000003E-2</v>
      </c>
    </row>
    <row r="168" spans="2:7" hidden="1" x14ac:dyDescent="0.3">
      <c r="B168" s="6">
        <v>42.5</v>
      </c>
      <c r="C168" s="8">
        <v>8000</v>
      </c>
      <c r="D168" s="3">
        <v>0.65</v>
      </c>
      <c r="E168">
        <v>10.126631103850338</v>
      </c>
      <c r="F168">
        <v>5.8000000000000003E-2</v>
      </c>
      <c r="G168">
        <v>4.82E-2</v>
      </c>
    </row>
    <row r="169" spans="2:7" hidden="1" x14ac:dyDescent="0.3">
      <c r="B169" s="80">
        <v>53.5</v>
      </c>
      <c r="C169" s="78">
        <v>9469</v>
      </c>
      <c r="D169" s="79">
        <v>0.64</v>
      </c>
      <c r="E169">
        <v>11.829151261539234</v>
      </c>
      <c r="F169">
        <v>7.0000000000000007E-2</v>
      </c>
      <c r="G169">
        <v>5.0200000000000002E-2</v>
      </c>
    </row>
    <row r="170" spans="2:7" hidden="1" x14ac:dyDescent="0.3">
      <c r="B170" s="6">
        <v>66.099999999999994</v>
      </c>
      <c r="C170" s="8">
        <v>10408</v>
      </c>
      <c r="D170" s="3">
        <v>0.67</v>
      </c>
      <c r="E170">
        <v>12.237886185492489</v>
      </c>
      <c r="F170">
        <v>0.09</v>
      </c>
      <c r="G170">
        <v>5.6500000000000002E-2</v>
      </c>
    </row>
    <row r="171" spans="2:7" hidden="1" x14ac:dyDescent="0.3">
      <c r="B171" s="80">
        <v>89</v>
      </c>
      <c r="C171" s="78">
        <v>13003</v>
      </c>
      <c r="D171" s="79">
        <v>0.65</v>
      </c>
      <c r="E171">
        <v>12.722476680985153</v>
      </c>
      <c r="F171">
        <v>0.1</v>
      </c>
      <c r="G171">
        <v>6.3399999999999998E-2</v>
      </c>
    </row>
    <row r="172" spans="2:7" hidden="1" x14ac:dyDescent="0.3">
      <c r="B172" s="6">
        <v>82.1</v>
      </c>
      <c r="C172" s="8">
        <v>14500</v>
      </c>
      <c r="D172" s="3">
        <v>0.63</v>
      </c>
      <c r="E172">
        <v>12.594730635321957</v>
      </c>
      <c r="F172">
        <v>0.09</v>
      </c>
      <c r="G172">
        <v>6.6100000000000006E-2</v>
      </c>
    </row>
    <row r="173" spans="2:7" hidden="1" x14ac:dyDescent="0.3">
      <c r="B173" s="80">
        <v>12.5</v>
      </c>
      <c r="C173" s="78">
        <v>185</v>
      </c>
      <c r="D173" s="79">
        <v>0.22</v>
      </c>
      <c r="E173">
        <v>7.1308988302963465</v>
      </c>
      <c r="F173">
        <v>0.13200000000000001</v>
      </c>
      <c r="G173">
        <v>2.18E-2</v>
      </c>
    </row>
    <row r="174" spans="2:7" hidden="1" x14ac:dyDescent="0.3">
      <c r="B174" s="6">
        <v>13.8</v>
      </c>
      <c r="C174" s="8">
        <v>215</v>
      </c>
      <c r="D174" s="3">
        <v>0.2</v>
      </c>
      <c r="E174">
        <v>7.4265490723973047</v>
      </c>
      <c r="F174">
        <v>0.13800000000000001</v>
      </c>
      <c r="G174">
        <v>2.4199999999999999E-2</v>
      </c>
    </row>
    <row r="175" spans="2:7" hidden="1" x14ac:dyDescent="0.3">
      <c r="B175" s="80">
        <v>15.5</v>
      </c>
      <c r="C175" s="78">
        <v>248</v>
      </c>
      <c r="D175" s="79">
        <v>0.18</v>
      </c>
      <c r="E175">
        <v>7.9373746961632952</v>
      </c>
      <c r="F175">
        <v>0.14499999999999999</v>
      </c>
      <c r="G175">
        <v>2.6800000000000001E-2</v>
      </c>
    </row>
    <row r="176" spans="2:7" hidden="1" x14ac:dyDescent="0.3">
      <c r="B176" s="6">
        <v>16.8</v>
      </c>
      <c r="C176" s="8">
        <v>285</v>
      </c>
      <c r="D176" s="3">
        <v>0.16</v>
      </c>
      <c r="E176">
        <v>8.2427563457144775</v>
      </c>
      <c r="F176">
        <v>0.152</v>
      </c>
      <c r="G176">
        <v>2.9499999999999998E-2</v>
      </c>
    </row>
    <row r="177" spans="2:7" hidden="1" x14ac:dyDescent="0.3">
      <c r="B177" s="80">
        <v>14.5</v>
      </c>
      <c r="C177" s="78">
        <v>318</v>
      </c>
      <c r="D177" s="79">
        <v>0.18</v>
      </c>
      <c r="E177">
        <v>7.696212639346407</v>
      </c>
      <c r="F177">
        <v>0.14199999999999999</v>
      </c>
      <c r="G177">
        <v>3.1800000000000002E-2</v>
      </c>
    </row>
    <row r="178" spans="2:7" hidden="1" x14ac:dyDescent="0.3">
      <c r="B178" s="6">
        <v>15.8</v>
      </c>
      <c r="C178" s="8">
        <v>345</v>
      </c>
      <c r="D178" s="3">
        <v>0.16</v>
      </c>
      <c r="E178">
        <v>8.1605182474775049</v>
      </c>
      <c r="F178">
        <v>0.14799999999999999</v>
      </c>
      <c r="G178">
        <v>3.3500000000000002E-2</v>
      </c>
    </row>
    <row r="179" spans="2:7" hidden="1" x14ac:dyDescent="0.3">
      <c r="B179" s="80">
        <v>13.6</v>
      </c>
      <c r="C179" s="78">
        <v>366</v>
      </c>
      <c r="D179" s="79">
        <v>0.11</v>
      </c>
      <c r="E179">
        <v>8.794824928014517</v>
      </c>
      <c r="F179">
        <v>0.15</v>
      </c>
      <c r="G179">
        <v>3.85E-2</v>
      </c>
    </row>
    <row r="180" spans="2:7" hidden="1" x14ac:dyDescent="0.3">
      <c r="B180" s="6">
        <v>9.6999999999999993</v>
      </c>
      <c r="C180" s="8">
        <v>521</v>
      </c>
      <c r="D180" s="3">
        <v>0.08</v>
      </c>
      <c r="E180">
        <v>8.9092352791922611</v>
      </c>
      <c r="F180">
        <v>0.15</v>
      </c>
      <c r="G180">
        <v>4.3700000000000003E-2</v>
      </c>
    </row>
    <row r="181" spans="2:7" hidden="1" x14ac:dyDescent="0.3">
      <c r="B181" s="80">
        <v>17</v>
      </c>
      <c r="C181" s="78">
        <v>615</v>
      </c>
      <c r="D181" s="79">
        <v>1.35</v>
      </c>
      <c r="E181">
        <v>9.3231331994513056</v>
      </c>
      <c r="F181">
        <v>0.16</v>
      </c>
      <c r="G181">
        <v>5.1799999999999999E-2</v>
      </c>
    </row>
    <row r="182" spans="2:7" hidden="1" x14ac:dyDescent="0.3">
      <c r="B182" s="6">
        <v>5.7</v>
      </c>
      <c r="C182" s="8">
        <v>650</v>
      </c>
      <c r="D182" s="3">
        <v>1.37</v>
      </c>
      <c r="E182">
        <v>8.7787879291047002</v>
      </c>
      <c r="F182">
        <v>0.14000000000000001</v>
      </c>
      <c r="G182">
        <v>5.3199999999999997E-2</v>
      </c>
    </row>
    <row r="183" spans="2:7" hidden="1" x14ac:dyDescent="0.3">
      <c r="B183" s="80">
        <v>9.5</v>
      </c>
      <c r="C183" s="78">
        <v>68</v>
      </c>
      <c r="D183" s="79">
        <v>0.38</v>
      </c>
      <c r="E183">
        <v>6.0402547112774139</v>
      </c>
      <c r="F183">
        <v>0.22500000000000001</v>
      </c>
      <c r="G183">
        <v>1.8499999999999999E-2</v>
      </c>
    </row>
    <row r="184" spans="2:7" hidden="1" x14ac:dyDescent="0.3">
      <c r="B184" s="6">
        <v>10.8</v>
      </c>
      <c r="C184" s="8">
        <v>88</v>
      </c>
      <c r="D184" s="3">
        <v>0.35</v>
      </c>
      <c r="E184">
        <v>6.363028103540465</v>
      </c>
      <c r="F184">
        <v>0.23799999999999999</v>
      </c>
      <c r="G184">
        <v>2.18E-2</v>
      </c>
    </row>
    <row r="185" spans="2:7" hidden="1" x14ac:dyDescent="0.3">
      <c r="B185" s="80">
        <v>12.5</v>
      </c>
      <c r="C185" s="78">
        <v>108</v>
      </c>
      <c r="D185" s="79">
        <v>0.32</v>
      </c>
      <c r="E185">
        <v>6.8564619845945867</v>
      </c>
      <c r="F185">
        <v>0.248</v>
      </c>
      <c r="G185">
        <v>2.4799999999999999E-2</v>
      </c>
    </row>
    <row r="186" spans="2:7" hidden="1" x14ac:dyDescent="0.3">
      <c r="B186" s="6">
        <v>14.2</v>
      </c>
      <c r="C186" s="8">
        <v>128</v>
      </c>
      <c r="D186" s="3">
        <v>0.3</v>
      </c>
      <c r="E186">
        <v>7.9373746961632952</v>
      </c>
      <c r="F186">
        <v>0.25800000000000001</v>
      </c>
      <c r="G186">
        <v>2.7199999999999998E-2</v>
      </c>
    </row>
    <row r="187" spans="2:7" hidden="1" x14ac:dyDescent="0.3">
      <c r="B187" s="80">
        <v>12.2</v>
      </c>
      <c r="C187" s="78">
        <v>140</v>
      </c>
      <c r="D187" s="79">
        <v>0.28000000000000003</v>
      </c>
      <c r="E187">
        <v>7.4955419438842563</v>
      </c>
      <c r="F187">
        <v>0.252</v>
      </c>
      <c r="G187">
        <v>2.8500000000000001E-2</v>
      </c>
    </row>
    <row r="188" spans="2:7" hidden="1" x14ac:dyDescent="0.3">
      <c r="B188" s="6">
        <v>13.5</v>
      </c>
      <c r="C188" s="8">
        <v>150</v>
      </c>
      <c r="D188" s="3">
        <v>0.26</v>
      </c>
      <c r="E188">
        <v>7.9373746961632952</v>
      </c>
      <c r="F188">
        <v>0.255</v>
      </c>
      <c r="G188">
        <v>2.9000000000000001E-2</v>
      </c>
    </row>
    <row r="189" spans="2:7" hidden="1" x14ac:dyDescent="0.3">
      <c r="B189" s="80">
        <v>9.6</v>
      </c>
      <c r="C189" s="78">
        <v>161</v>
      </c>
      <c r="D189" s="79">
        <v>0.23</v>
      </c>
      <c r="E189">
        <v>8.181720455128108</v>
      </c>
      <c r="F189">
        <v>0.28000000000000003</v>
      </c>
      <c r="G189">
        <v>2.93E-2</v>
      </c>
    </row>
    <row r="190" spans="2:7" hidden="1" x14ac:dyDescent="0.3">
      <c r="B190" s="6">
        <v>12</v>
      </c>
      <c r="C190" s="8">
        <v>234</v>
      </c>
      <c r="D190" s="3">
        <v>0.28000000000000003</v>
      </c>
      <c r="E190">
        <v>8.3628758310318805</v>
      </c>
      <c r="F190">
        <v>0.25</v>
      </c>
      <c r="G190">
        <v>3.39E-2</v>
      </c>
    </row>
    <row r="191" spans="2:7" hidden="1" x14ac:dyDescent="0.3">
      <c r="B191" s="80">
        <v>11.7</v>
      </c>
      <c r="C191" s="78">
        <v>262</v>
      </c>
      <c r="D191" s="79">
        <v>0.19</v>
      </c>
      <c r="E191">
        <v>8.9820586428058498</v>
      </c>
      <c r="F191">
        <v>0.24</v>
      </c>
      <c r="G191">
        <v>3.6600000000000001E-2</v>
      </c>
    </row>
    <row r="192" spans="2:7" hidden="1" x14ac:dyDescent="0.3">
      <c r="B192" s="6">
        <v>13.2</v>
      </c>
      <c r="C192" s="8">
        <v>290</v>
      </c>
      <c r="D192" s="3">
        <v>0.37</v>
      </c>
      <c r="E192">
        <v>8.66561319653451</v>
      </c>
      <c r="F192">
        <v>0.17</v>
      </c>
      <c r="G192">
        <v>3.8100000000000002E-2</v>
      </c>
    </row>
    <row r="193" spans="2:7" hidden="1" x14ac:dyDescent="0.3">
      <c r="B193" s="80">
        <v>14.5</v>
      </c>
      <c r="C193" s="78">
        <v>80</v>
      </c>
      <c r="D193" s="79">
        <v>0.38</v>
      </c>
      <c r="E193">
        <v>7.5229409180723703</v>
      </c>
      <c r="F193">
        <v>0.11799999999999999</v>
      </c>
      <c r="G193">
        <v>2.7199999999999998E-2</v>
      </c>
    </row>
    <row r="194" spans="2:7" hidden="1" x14ac:dyDescent="0.3">
      <c r="B194" s="6">
        <v>15.8</v>
      </c>
      <c r="C194" s="8">
        <v>88</v>
      </c>
      <c r="D194" s="3">
        <v>0.36</v>
      </c>
      <c r="E194">
        <v>7.696212639346407</v>
      </c>
      <c r="F194">
        <v>0.122</v>
      </c>
      <c r="G194">
        <v>2.8799999999999999E-2</v>
      </c>
    </row>
    <row r="195" spans="2:7" hidden="1" x14ac:dyDescent="0.3">
      <c r="B195" s="80">
        <v>17.5</v>
      </c>
      <c r="C195" s="78">
        <v>96</v>
      </c>
      <c r="D195" s="79">
        <v>0.34</v>
      </c>
      <c r="E195">
        <v>8.1605182474775049</v>
      </c>
      <c r="F195">
        <v>0.125</v>
      </c>
      <c r="G195">
        <v>3.0499999999999999E-2</v>
      </c>
    </row>
    <row r="196" spans="2:7" hidden="1" x14ac:dyDescent="0.3">
      <c r="B196" s="6">
        <v>16.2</v>
      </c>
      <c r="C196" s="8">
        <v>104</v>
      </c>
      <c r="D196" s="3">
        <v>0.36</v>
      </c>
      <c r="E196">
        <v>7.9373746961632952</v>
      </c>
      <c r="F196">
        <v>0.11799999999999999</v>
      </c>
      <c r="G196">
        <v>3.1800000000000002E-2</v>
      </c>
    </row>
    <row r="197" spans="2:7" hidden="1" x14ac:dyDescent="0.3">
      <c r="B197" s="80">
        <v>14.5</v>
      </c>
      <c r="C197" s="78">
        <v>110</v>
      </c>
      <c r="D197" s="79">
        <v>0.4</v>
      </c>
      <c r="E197">
        <v>7.3777589082278725</v>
      </c>
      <c r="F197">
        <v>0.108</v>
      </c>
      <c r="G197">
        <v>3.2800000000000003E-2</v>
      </c>
    </row>
    <row r="198" spans="2:7" hidden="1" x14ac:dyDescent="0.3">
      <c r="B198" s="6">
        <v>15.5</v>
      </c>
      <c r="C198" s="8">
        <v>115</v>
      </c>
      <c r="D198" s="3">
        <v>0.38</v>
      </c>
      <c r="E198">
        <v>7.4955419438842563</v>
      </c>
      <c r="F198">
        <v>0.112</v>
      </c>
      <c r="G198">
        <v>3.32E-2</v>
      </c>
    </row>
    <row r="199" spans="2:7" hidden="1" x14ac:dyDescent="0.3">
      <c r="B199" s="80">
        <v>13.4</v>
      </c>
      <c r="C199" s="78">
        <v>123</v>
      </c>
      <c r="D199" s="79">
        <v>0.28000000000000003</v>
      </c>
      <c r="E199">
        <v>7.7621706071382048</v>
      </c>
      <c r="F199">
        <v>0.13</v>
      </c>
      <c r="G199">
        <v>3.3700000000000001E-2</v>
      </c>
    </row>
    <row r="200" spans="2:7" hidden="1" x14ac:dyDescent="0.3">
      <c r="B200" s="6">
        <v>11.9</v>
      </c>
      <c r="C200" s="8">
        <v>169</v>
      </c>
      <c r="D200" s="3">
        <v>0.14000000000000001</v>
      </c>
      <c r="E200">
        <v>8.1173124616019745</v>
      </c>
      <c r="F200">
        <v>0.2</v>
      </c>
      <c r="G200">
        <v>3.7199999999999997E-2</v>
      </c>
    </row>
    <row r="201" spans="2:7" hidden="1" x14ac:dyDescent="0.3">
      <c r="B201" s="80">
        <v>15.3</v>
      </c>
      <c r="C201" s="78">
        <v>180</v>
      </c>
      <c r="D201" s="79">
        <v>0.15</v>
      </c>
      <c r="E201">
        <v>8.4246392098056297</v>
      </c>
      <c r="F201">
        <v>0.2</v>
      </c>
      <c r="G201">
        <v>4.2200000000000001E-2</v>
      </c>
    </row>
    <row r="202" spans="2:7" hidden="1" x14ac:dyDescent="0.3">
      <c r="B202" s="6">
        <v>33.700000000000003</v>
      </c>
      <c r="C202" s="8">
        <v>195</v>
      </c>
      <c r="D202" s="3">
        <v>0.17</v>
      </c>
      <c r="E202">
        <v>8.2940496401020276</v>
      </c>
      <c r="F202">
        <v>0.2</v>
      </c>
      <c r="G202">
        <v>4.41E-2</v>
      </c>
    </row>
    <row r="203" spans="2:7" ht="15" hidden="1" thickBot="1" x14ac:dyDescent="0.35">
      <c r="B203" s="80">
        <v>28.5</v>
      </c>
      <c r="C203" s="78">
        <v>5200</v>
      </c>
      <c r="D203" s="79">
        <v>0.38</v>
      </c>
      <c r="E203">
        <v>11.759785542901755</v>
      </c>
      <c r="F203">
        <v>9.5000000000000001E-2</v>
      </c>
      <c r="G203">
        <v>3.2500000000000001E-2</v>
      </c>
    </row>
    <row r="204" spans="2:7" hidden="1" x14ac:dyDescent="0.3">
      <c r="B204" s="6">
        <v>30.2</v>
      </c>
      <c r="C204" s="8">
        <v>5600</v>
      </c>
      <c r="D204" s="3">
        <v>0.36</v>
      </c>
      <c r="E204" s="94">
        <v>11.849397701591441</v>
      </c>
      <c r="F204" s="94">
        <v>9.8000000000000004E-2</v>
      </c>
      <c r="G204" s="94">
        <v>3.4200000000000001E-2</v>
      </c>
    </row>
    <row r="205" spans="2:7" hidden="1" x14ac:dyDescent="0.3">
      <c r="B205" s="80">
        <v>32.5</v>
      </c>
      <c r="C205" s="78">
        <v>6100</v>
      </c>
      <c r="D205" s="79">
        <v>0.35</v>
      </c>
      <c r="E205" s="57">
        <v>12.072541252905651</v>
      </c>
      <c r="F205" s="57">
        <v>0.1</v>
      </c>
      <c r="G205" s="57">
        <v>3.6200000000000003E-2</v>
      </c>
    </row>
    <row r="206" spans="2:7" hidden="1" x14ac:dyDescent="0.3">
      <c r="B206" s="6">
        <v>33.200000000000003</v>
      </c>
      <c r="C206" s="8">
        <v>6500</v>
      </c>
      <c r="D206" s="3">
        <v>0.34</v>
      </c>
      <c r="E206" s="3">
        <v>12.128111104060462</v>
      </c>
      <c r="F206" s="3">
        <v>0.10199999999999999</v>
      </c>
      <c r="G206" s="3">
        <v>3.7999999999999999E-2</v>
      </c>
    </row>
    <row r="207" spans="2:7" hidden="1" x14ac:dyDescent="0.3">
      <c r="B207" s="80">
        <v>28.5</v>
      </c>
      <c r="C207" s="78">
        <v>6800</v>
      </c>
      <c r="D207" s="79">
        <v>0.35</v>
      </c>
      <c r="E207" s="3">
        <v>11.884489021402711</v>
      </c>
      <c r="F207" s="3">
        <v>9.6000000000000002E-2</v>
      </c>
      <c r="G207" s="3">
        <v>3.95E-2</v>
      </c>
    </row>
    <row r="208" spans="2:7" hidden="1" x14ac:dyDescent="0.3">
      <c r="B208" s="6">
        <v>30.5</v>
      </c>
      <c r="C208" s="8">
        <v>6900</v>
      </c>
      <c r="D208" s="3">
        <v>0.33</v>
      </c>
      <c r="E208" s="3">
        <v>12.144197241812087</v>
      </c>
      <c r="F208" s="3">
        <v>9.8000000000000004E-2</v>
      </c>
      <c r="G208" s="3">
        <v>3.5200000000000002E-2</v>
      </c>
    </row>
    <row r="209" spans="2:7" hidden="1" x14ac:dyDescent="0.3">
      <c r="B209" s="80">
        <v>29.8</v>
      </c>
      <c r="C209" s="78">
        <v>6965</v>
      </c>
      <c r="D209" s="79">
        <v>0.3</v>
      </c>
      <c r="E209" s="3">
        <v>12.588269126698984</v>
      </c>
      <c r="F209" s="3">
        <v>0.1</v>
      </c>
      <c r="G209" s="3">
        <v>3.5700000000000003E-2</v>
      </c>
    </row>
    <row r="210" spans="2:7" hidden="1" x14ac:dyDescent="0.3">
      <c r="B210" s="6">
        <v>30.4</v>
      </c>
      <c r="C210" s="8">
        <v>8521</v>
      </c>
      <c r="D210" s="3">
        <v>0.25</v>
      </c>
      <c r="E210" s="3">
        <v>13.092110334233308</v>
      </c>
      <c r="F210" s="3">
        <v>0.12</v>
      </c>
      <c r="G210" s="3">
        <v>4.24E-2</v>
      </c>
    </row>
    <row r="211" spans="2:7" hidden="1" x14ac:dyDescent="0.3">
      <c r="B211" s="80">
        <v>41.8</v>
      </c>
      <c r="C211" s="78">
        <v>10752</v>
      </c>
      <c r="D211" s="79">
        <v>0.35</v>
      </c>
      <c r="E211" s="3">
        <v>13.119158246455381</v>
      </c>
      <c r="F211" s="3">
        <v>0.13</v>
      </c>
      <c r="G211" s="3">
        <v>4.8000000000000001E-2</v>
      </c>
    </row>
    <row r="212" spans="2:7" hidden="1" x14ac:dyDescent="0.3">
      <c r="B212" s="6">
        <v>34.6</v>
      </c>
      <c r="C212" s="8">
        <v>11248</v>
      </c>
      <c r="D212" s="3">
        <v>0.31</v>
      </c>
      <c r="E212" s="3">
        <v>13.229062996063385</v>
      </c>
      <c r="F212" s="3">
        <v>0.14000000000000001</v>
      </c>
      <c r="G212" s="3">
        <v>5.21E-2</v>
      </c>
    </row>
    <row r="213" spans="2:7" hidden="1" x14ac:dyDescent="0.3">
      <c r="B213" s="80">
        <v>725</v>
      </c>
      <c r="C213" s="78">
        <v>2800</v>
      </c>
      <c r="D213" s="79">
        <v>3.85</v>
      </c>
      <c r="E213" s="3">
        <v>7.3132203870903014</v>
      </c>
      <c r="F213" s="3">
        <v>4.8000000000000001E-2</v>
      </c>
      <c r="G213" s="3">
        <v>6.8199999999999997E-2</v>
      </c>
    </row>
    <row r="214" spans="2:7" hidden="1" x14ac:dyDescent="0.3">
      <c r="B214" s="6">
        <v>725</v>
      </c>
      <c r="C214" s="8">
        <v>4200</v>
      </c>
      <c r="D214" s="3">
        <v>3.92</v>
      </c>
      <c r="E214" s="3">
        <v>7.696212639346407</v>
      </c>
      <c r="F214" s="3">
        <v>5.1999999999999998E-2</v>
      </c>
      <c r="G214" s="3">
        <v>8.5199999999999998E-2</v>
      </c>
    </row>
    <row r="215" spans="2:7" hidden="1" x14ac:dyDescent="0.3">
      <c r="B215" s="80">
        <v>725</v>
      </c>
      <c r="C215" s="78">
        <v>6200</v>
      </c>
      <c r="D215" s="79">
        <v>4.12</v>
      </c>
      <c r="E215" s="3">
        <v>9.0478214424784085</v>
      </c>
      <c r="F215" s="3">
        <v>5.8000000000000003E-2</v>
      </c>
      <c r="G215" s="3">
        <v>9.8500000000000004E-2</v>
      </c>
    </row>
    <row r="216" spans="2:7" hidden="1" x14ac:dyDescent="0.3">
      <c r="B216" s="6">
        <v>725</v>
      </c>
      <c r="C216" s="8">
        <v>7800</v>
      </c>
      <c r="D216" s="3">
        <v>4.28</v>
      </c>
      <c r="E216" s="3">
        <v>10.239959789157341</v>
      </c>
      <c r="F216" s="3">
        <v>6.2E-2</v>
      </c>
      <c r="G216" s="3">
        <v>0.1085</v>
      </c>
    </row>
    <row r="217" spans="2:7" hidden="1" x14ac:dyDescent="0.3">
      <c r="B217" s="80">
        <v>725</v>
      </c>
      <c r="C217" s="78">
        <v>9200</v>
      </c>
      <c r="D217" s="79">
        <v>4.45</v>
      </c>
      <c r="E217" s="3">
        <v>10.819778284410283</v>
      </c>
      <c r="F217" s="3">
        <v>6.5000000000000002E-2</v>
      </c>
      <c r="G217" s="3">
        <v>0.1125</v>
      </c>
    </row>
    <row r="218" spans="2:7" hidden="1" x14ac:dyDescent="0.3">
      <c r="B218" s="6">
        <v>725</v>
      </c>
      <c r="C218" s="8">
        <v>10500</v>
      </c>
      <c r="D218" s="3">
        <v>4.58</v>
      </c>
      <c r="E218" s="3">
        <v>11.951180395901384</v>
      </c>
      <c r="F218" s="3">
        <v>7.0000000000000007E-2</v>
      </c>
      <c r="G218" s="3">
        <v>0.1285</v>
      </c>
    </row>
    <row r="219" spans="2:7" hidden="1" x14ac:dyDescent="0.3">
      <c r="B219" s="80">
        <v>725</v>
      </c>
      <c r="C219" s="78">
        <v>11362</v>
      </c>
      <c r="D219" s="79">
        <v>4.66</v>
      </c>
      <c r="E219" s="3">
        <v>12.631340380934517</v>
      </c>
      <c r="F219" s="3">
        <v>0.08</v>
      </c>
      <c r="G219" s="3">
        <v>0.1459</v>
      </c>
    </row>
    <row r="220" spans="2:7" hidden="1" x14ac:dyDescent="0.3">
      <c r="B220" s="6">
        <v>220.3</v>
      </c>
      <c r="C220" s="8">
        <v>17289</v>
      </c>
      <c r="D220" s="3">
        <v>4.72</v>
      </c>
      <c r="E220" s="3">
        <v>12.441934969252157</v>
      </c>
      <c r="F220" s="3">
        <v>0.08</v>
      </c>
      <c r="G220" s="3">
        <v>0.1691</v>
      </c>
    </row>
    <row r="221" spans="2:7" hidden="1" x14ac:dyDescent="0.3">
      <c r="B221" s="80">
        <v>176.6</v>
      </c>
      <c r="C221" s="78">
        <v>19862</v>
      </c>
      <c r="D221" s="79">
        <v>4.8</v>
      </c>
      <c r="E221" s="3">
        <v>12.029931947811301</v>
      </c>
      <c r="F221" s="3">
        <v>0.1</v>
      </c>
      <c r="G221" s="3">
        <v>0.18559999999999999</v>
      </c>
    </row>
    <row r="222" spans="2:7" hidden="1" x14ac:dyDescent="0.3">
      <c r="B222" s="6">
        <v>102</v>
      </c>
      <c r="C222" s="8">
        <v>21987</v>
      </c>
      <c r="D222" s="3">
        <v>4.8499999999999996</v>
      </c>
      <c r="E222" s="3">
        <v>12.029335467030119</v>
      </c>
      <c r="F222" s="3">
        <v>0.09</v>
      </c>
      <c r="G222" s="3">
        <v>0.21010000000000001</v>
      </c>
    </row>
    <row r="223" spans="2:7" hidden="1" x14ac:dyDescent="0.3">
      <c r="B223" s="80">
        <v>20.5</v>
      </c>
      <c r="C223" s="78">
        <v>28</v>
      </c>
      <c r="D223" s="79">
        <v>0</v>
      </c>
      <c r="E223" s="3">
        <v>8.0709060887878188</v>
      </c>
      <c r="F223" s="3">
        <v>0.14799999999999999</v>
      </c>
      <c r="G223" s="3">
        <v>2.8500000000000001E-3</v>
      </c>
    </row>
    <row r="224" spans="2:7" hidden="1" x14ac:dyDescent="0.3">
      <c r="B224" s="6">
        <v>22.5</v>
      </c>
      <c r="C224" s="8">
        <v>18</v>
      </c>
      <c r="D224" s="6">
        <v>0</v>
      </c>
      <c r="E224" s="3">
        <v>8.2427563457144775</v>
      </c>
      <c r="F224" s="3">
        <v>0.155</v>
      </c>
      <c r="G224" s="3">
        <v>1.82E-3</v>
      </c>
    </row>
    <row r="225" spans="2:18" hidden="1" x14ac:dyDescent="0.3">
      <c r="B225" s="80">
        <v>24.5</v>
      </c>
      <c r="C225" s="78">
        <v>22</v>
      </c>
      <c r="D225" s="80">
        <v>0</v>
      </c>
      <c r="E225" s="3">
        <v>8.3428398042714598</v>
      </c>
      <c r="F225" s="3">
        <v>0.158</v>
      </c>
      <c r="G225" s="3">
        <v>2.1800000000000001E-3</v>
      </c>
    </row>
    <row r="226" spans="2:18" hidden="1" x14ac:dyDescent="0.3">
      <c r="B226" s="6">
        <v>23.8</v>
      </c>
      <c r="C226" s="8">
        <v>25</v>
      </c>
      <c r="D226" s="6">
        <v>0</v>
      </c>
      <c r="E226" s="3">
        <v>8.4118326757584114</v>
      </c>
      <c r="F226" s="3">
        <v>0.155</v>
      </c>
      <c r="G226" s="3">
        <v>2.4499999999999999E-3</v>
      </c>
    </row>
    <row r="227" spans="2:18" hidden="1" x14ac:dyDescent="0.3">
      <c r="B227" s="80">
        <v>20.5</v>
      </c>
      <c r="C227" s="78">
        <v>20</v>
      </c>
      <c r="D227" s="80">
        <v>0</v>
      </c>
      <c r="E227" s="3">
        <v>8.0709060887878188</v>
      </c>
      <c r="F227" s="3">
        <v>0.13800000000000001</v>
      </c>
      <c r="G227" s="3">
        <v>1.98E-3</v>
      </c>
    </row>
    <row r="228" spans="2:18" hidden="1" x14ac:dyDescent="0.3">
      <c r="B228" s="6">
        <v>22.5</v>
      </c>
      <c r="C228" s="8">
        <v>18</v>
      </c>
      <c r="D228" s="6">
        <v>0</v>
      </c>
      <c r="E228" s="3">
        <v>8.2427563457144775</v>
      </c>
      <c r="F228" s="3">
        <v>0.14199999999999999</v>
      </c>
      <c r="G228" s="3">
        <v>1.7799999999999999E-3</v>
      </c>
    </row>
    <row r="229" spans="2:18" hidden="1" x14ac:dyDescent="0.3">
      <c r="B229" s="80">
        <v>19.600000000000001</v>
      </c>
      <c r="C229" s="78">
        <v>0</v>
      </c>
      <c r="D229" s="80">
        <v>0</v>
      </c>
      <c r="E229" s="3">
        <v>8.2426310747104985</v>
      </c>
      <c r="F229" s="3">
        <v>0.15</v>
      </c>
      <c r="G229" s="3">
        <v>0</v>
      </c>
    </row>
    <row r="230" spans="2:18" hidden="1" x14ac:dyDescent="0.3">
      <c r="B230" s="6">
        <v>18.8</v>
      </c>
      <c r="C230" s="8">
        <v>0</v>
      </c>
      <c r="D230" s="6">
        <v>0</v>
      </c>
      <c r="E230" s="3">
        <v>8.6357213716056869</v>
      </c>
      <c r="F230" s="3">
        <v>0.21</v>
      </c>
      <c r="G230" s="3">
        <v>0</v>
      </c>
    </row>
    <row r="231" spans="2:18" hidden="1" x14ac:dyDescent="0.3">
      <c r="B231" s="80">
        <v>27.6</v>
      </c>
      <c r="C231" s="78">
        <v>0</v>
      </c>
      <c r="D231" s="80">
        <v>0</v>
      </c>
      <c r="E231" s="3">
        <v>9.2488974034029994</v>
      </c>
      <c r="F231" s="3">
        <v>0.25</v>
      </c>
      <c r="G231" s="3">
        <v>0</v>
      </c>
      <c r="M231" s="17"/>
      <c r="N231" s="17"/>
    </row>
    <row r="232" spans="2:18" hidden="1" x14ac:dyDescent="0.3">
      <c r="B232" s="6">
        <v>17.100000000000001</v>
      </c>
      <c r="C232" s="8">
        <v>0.25</v>
      </c>
      <c r="D232" s="6">
        <v>0</v>
      </c>
      <c r="E232" s="3">
        <v>8.8061650217725962</v>
      </c>
      <c r="F232" s="3">
        <v>0.25</v>
      </c>
      <c r="G232" s="3">
        <v>1.672522726238804E-4</v>
      </c>
    </row>
    <row r="233" spans="2:18" hidden="1" x14ac:dyDescent="0.3">
      <c r="B233" s="80">
        <v>35.5</v>
      </c>
      <c r="C233" s="78">
        <v>480</v>
      </c>
      <c r="D233" s="80">
        <v>0.52</v>
      </c>
      <c r="E233" s="3">
        <v>7.9373746961632952</v>
      </c>
      <c r="F233" s="3">
        <v>0.14799999999999999</v>
      </c>
      <c r="G233" s="3">
        <v>6.88E-2</v>
      </c>
    </row>
    <row r="234" spans="2:18" hidden="1" x14ac:dyDescent="0.3">
      <c r="B234" s="6">
        <v>45.5</v>
      </c>
      <c r="C234" s="8">
        <v>620</v>
      </c>
      <c r="D234" s="6">
        <v>0.48</v>
      </c>
      <c r="E234" s="3">
        <v>8.5564139045695189</v>
      </c>
      <c r="F234" s="3">
        <v>0.158</v>
      </c>
      <c r="G234" s="3">
        <v>7.8200000000000006E-2</v>
      </c>
    </row>
    <row r="235" spans="2:18" hidden="1" x14ac:dyDescent="0.3">
      <c r="B235" s="80">
        <v>65.5</v>
      </c>
      <c r="C235" s="78">
        <v>780</v>
      </c>
      <c r="D235" s="80">
        <v>0.45</v>
      </c>
      <c r="E235" s="3">
        <v>9.3926619287701367</v>
      </c>
      <c r="F235" s="3">
        <v>0.16800000000000001</v>
      </c>
      <c r="G235" s="3">
        <v>8.8499999999999995E-2</v>
      </c>
    </row>
    <row r="236" spans="2:18" hidden="1" x14ac:dyDescent="0.3">
      <c r="B236" s="6">
        <v>95.5</v>
      </c>
      <c r="C236" s="8">
        <v>920</v>
      </c>
      <c r="D236" s="6">
        <v>0.42</v>
      </c>
      <c r="E236" s="3">
        <v>10.645424897265505</v>
      </c>
      <c r="F236" s="3">
        <v>0.17799999999999999</v>
      </c>
      <c r="G236" s="3">
        <v>9.8500000000000004E-2</v>
      </c>
    </row>
    <row r="237" spans="2:18" hidden="1" x14ac:dyDescent="0.3">
      <c r="B237" s="80">
        <v>115.5</v>
      </c>
      <c r="C237" s="78">
        <v>1050</v>
      </c>
      <c r="D237" s="80">
        <v>0.42</v>
      </c>
      <c r="E237" s="3">
        <v>10.714417768752456</v>
      </c>
      <c r="F237" s="3">
        <v>0.185</v>
      </c>
      <c r="G237" s="3">
        <v>0.1052</v>
      </c>
    </row>
    <row r="238" spans="2:18" hidden="1" x14ac:dyDescent="0.3">
      <c r="B238" s="6">
        <v>180</v>
      </c>
      <c r="C238" s="8">
        <v>1120</v>
      </c>
      <c r="D238" s="6">
        <v>0.41</v>
      </c>
      <c r="E238" s="3">
        <v>11.492722757652709</v>
      </c>
      <c r="F238" s="3">
        <v>0.19500000000000001</v>
      </c>
      <c r="G238" s="3">
        <v>0.1125</v>
      </c>
    </row>
    <row r="239" spans="2:18" hidden="1" x14ac:dyDescent="0.3">
      <c r="B239" s="80">
        <v>430.1</v>
      </c>
      <c r="C239" s="78">
        <v>1200</v>
      </c>
      <c r="D239" s="80">
        <v>0.41</v>
      </c>
      <c r="E239" s="3">
        <v>12.418539483038984</v>
      </c>
      <c r="F239" s="3">
        <v>0.25</v>
      </c>
      <c r="G239" s="3">
        <v>0.15791551519936833</v>
      </c>
      <c r="M239" s="18"/>
      <c r="N239" s="18"/>
      <c r="O239" s="18"/>
      <c r="P239" s="18"/>
      <c r="Q239" s="18"/>
      <c r="R239" s="18"/>
    </row>
    <row r="240" spans="2:18" hidden="1" x14ac:dyDescent="0.3">
      <c r="B240" s="6">
        <v>180</v>
      </c>
      <c r="C240" s="8">
        <v>1150</v>
      </c>
      <c r="D240" s="6">
        <v>0.47</v>
      </c>
      <c r="E240" s="3">
        <v>11.466202185821563</v>
      </c>
      <c r="F240" s="3">
        <v>0.21</v>
      </c>
      <c r="G240" s="3">
        <v>0.1762722256284488</v>
      </c>
    </row>
    <row r="241" spans="1:21" hidden="1" x14ac:dyDescent="0.3">
      <c r="B241" s="80">
        <v>170.6</v>
      </c>
      <c r="C241" s="78">
        <v>689</v>
      </c>
      <c r="D241" s="80">
        <v>0.41</v>
      </c>
      <c r="E241" s="3">
        <v>11.533330263865869</v>
      </c>
      <c r="F241" s="3">
        <v>0.21</v>
      </c>
      <c r="G241" s="3">
        <v>0.12224982256919802</v>
      </c>
    </row>
    <row r="242" spans="1:21" hidden="1" x14ac:dyDescent="0.3">
      <c r="B242" s="6">
        <v>99.3</v>
      </c>
      <c r="C242" s="8">
        <v>835</v>
      </c>
      <c r="D242" s="6">
        <v>0.42</v>
      </c>
      <c r="E242" s="3">
        <v>11.10055597638849</v>
      </c>
      <c r="F242" s="3">
        <v>0.17</v>
      </c>
      <c r="G242" s="3">
        <v>0.18853014224429893</v>
      </c>
    </row>
    <row r="243" spans="1:21" hidden="1" x14ac:dyDescent="0.3">
      <c r="B243" s="80">
        <v>22.5</v>
      </c>
      <c r="C243" s="78">
        <v>1850</v>
      </c>
      <c r="D243" s="80">
        <v>0</v>
      </c>
      <c r="E243" s="3">
        <v>10.46310334047155</v>
      </c>
      <c r="F243" s="3">
        <v>0.215</v>
      </c>
      <c r="G243" s="3">
        <v>4.4200000000000003E-2</v>
      </c>
    </row>
    <row r="244" spans="1:21" hidden="1" x14ac:dyDescent="0.3">
      <c r="B244" s="6">
        <v>24.5</v>
      </c>
      <c r="C244" s="8">
        <v>2050</v>
      </c>
      <c r="D244" s="6">
        <v>0</v>
      </c>
      <c r="E244" s="3">
        <v>10.545341438708522</v>
      </c>
      <c r="F244" s="3">
        <v>0.22500000000000001</v>
      </c>
      <c r="G244" s="3">
        <v>4.6800000000000001E-2</v>
      </c>
      <c r="M244" s="18"/>
      <c r="N244" s="18"/>
      <c r="O244" s="18"/>
      <c r="P244" s="18"/>
      <c r="Q244" s="18"/>
      <c r="R244" s="18"/>
      <c r="S244" s="18"/>
      <c r="T244" s="18"/>
      <c r="U244" s="18"/>
    </row>
    <row r="245" spans="1:21" hidden="1" x14ac:dyDescent="0.3">
      <c r="B245" s="80">
        <v>23.8</v>
      </c>
      <c r="C245" s="78">
        <v>2250</v>
      </c>
      <c r="D245" s="80">
        <v>0</v>
      </c>
      <c r="E245" s="3">
        <v>10.645424897265505</v>
      </c>
      <c r="F245" s="3">
        <v>0.23200000000000001</v>
      </c>
      <c r="G245" s="3">
        <v>4.9500000000000002E-2</v>
      </c>
      <c r="Q245" s="19"/>
    </row>
    <row r="246" spans="1:21" hidden="1" x14ac:dyDescent="0.3">
      <c r="B246" s="6">
        <v>22.5</v>
      </c>
      <c r="C246" s="8">
        <v>2450</v>
      </c>
      <c r="D246" s="6">
        <v>0</v>
      </c>
      <c r="E246" s="3">
        <v>10.778956289890028</v>
      </c>
      <c r="F246" s="3">
        <v>0.24199999999999999</v>
      </c>
      <c r="G246" s="3">
        <v>5.2200000000000003E-2</v>
      </c>
      <c r="M246" s="1"/>
      <c r="Q246" s="19"/>
    </row>
    <row r="247" spans="1:21" hidden="1" x14ac:dyDescent="0.3">
      <c r="B247" s="80">
        <v>19.5</v>
      </c>
      <c r="C247" s="78">
        <v>2620</v>
      </c>
      <c r="D247" s="80">
        <v>0.42</v>
      </c>
      <c r="E247" s="3">
        <v>10.545341438708522</v>
      </c>
      <c r="F247" s="3">
        <v>0.218</v>
      </c>
      <c r="G247" s="3">
        <v>5.4800000000000001E-2</v>
      </c>
      <c r="M247" s="1"/>
      <c r="Q247" s="19"/>
    </row>
    <row r="248" spans="1:21" hidden="1" x14ac:dyDescent="0.3">
      <c r="B248" s="6">
        <v>16.5</v>
      </c>
      <c r="C248" s="8">
        <v>2780</v>
      </c>
      <c r="D248" s="6">
        <v>0.85</v>
      </c>
      <c r="E248" s="3">
        <v>10.645424897265505</v>
      </c>
      <c r="F248" s="3">
        <v>0.222</v>
      </c>
      <c r="G248" s="3">
        <v>5.62E-2</v>
      </c>
      <c r="M248" s="1"/>
      <c r="Q248" s="19"/>
    </row>
    <row r="249" spans="1:21" hidden="1" x14ac:dyDescent="0.3">
      <c r="B249" s="80">
        <v>10.1</v>
      </c>
      <c r="C249" s="78">
        <v>2928.7</v>
      </c>
      <c r="D249" s="80">
        <v>1.1399999999999999</v>
      </c>
      <c r="E249" s="3">
        <v>10.998760939938723</v>
      </c>
      <c r="F249" s="3">
        <v>0.25</v>
      </c>
      <c r="G249" s="3">
        <v>6.1055286857905268E-2</v>
      </c>
      <c r="Q249" s="19"/>
    </row>
    <row r="250" spans="1:21" hidden="1" x14ac:dyDescent="0.3">
      <c r="B250" s="6">
        <v>14.1</v>
      </c>
      <c r="C250" s="8">
        <v>4121</v>
      </c>
      <c r="D250" s="6">
        <v>0.22</v>
      </c>
      <c r="E250" s="3">
        <v>10.558413520275876</v>
      </c>
      <c r="F250" s="3">
        <v>0.11</v>
      </c>
      <c r="G250" s="3">
        <v>8.8486644335652329E-2</v>
      </c>
    </row>
    <row r="251" spans="1:21" hidden="1" x14ac:dyDescent="0.3">
      <c r="B251" s="80">
        <v>14.1</v>
      </c>
      <c r="C251" s="78">
        <v>5967.5</v>
      </c>
      <c r="D251" s="80">
        <v>0.16</v>
      </c>
      <c r="E251" s="3">
        <v>11.270853903770499</v>
      </c>
      <c r="F251" s="3">
        <v>0.22</v>
      </c>
      <c r="G251" s="3">
        <v>0.10681427650891387</v>
      </c>
    </row>
    <row r="252" spans="1:21" hidden="1" x14ac:dyDescent="0.3">
      <c r="B252" s="101">
        <v>8.9</v>
      </c>
      <c r="C252" s="102">
        <v>6869.9</v>
      </c>
      <c r="D252" s="101">
        <v>7.0000000000000007E-2</v>
      </c>
      <c r="E252" s="103">
        <v>11.468973577441046</v>
      </c>
      <c r="F252" s="103">
        <v>0.28999999999999998</v>
      </c>
      <c r="G252" s="103">
        <v>0.108756015704154</v>
      </c>
    </row>
    <row r="253" spans="1:21" x14ac:dyDescent="0.3">
      <c r="B253" s="72"/>
      <c r="C253" s="82"/>
      <c r="D253" s="70"/>
      <c r="E253" s="70"/>
      <c r="F253" s="70"/>
      <c r="G253" s="70"/>
    </row>
    <row r="254" spans="1:21" ht="15" thickBot="1" x14ac:dyDescent="0.35"/>
    <row r="255" spans="1:21" ht="15" thickBot="1" x14ac:dyDescent="0.35">
      <c r="A255" s="13" t="s">
        <v>88</v>
      </c>
      <c r="B255" s="33" t="s">
        <v>117</v>
      </c>
      <c r="C255" s="131" t="s">
        <v>132</v>
      </c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3"/>
    </row>
    <row r="256" spans="1:21" ht="15" thickBot="1" x14ac:dyDescent="0.35">
      <c r="B256" s="14" t="s">
        <v>118</v>
      </c>
      <c r="C256" s="131" t="s">
        <v>131</v>
      </c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3"/>
    </row>
    <row r="257" spans="2:18" ht="15" thickBot="1" x14ac:dyDescent="0.35">
      <c r="B257" s="14" t="s">
        <v>119</v>
      </c>
      <c r="C257" s="34">
        <v>0.05</v>
      </c>
      <c r="Q257" s="18"/>
      <c r="R257" s="18"/>
    </row>
    <row r="260" spans="2:18" x14ac:dyDescent="0.3">
      <c r="B260" t="s">
        <v>89</v>
      </c>
    </row>
    <row r="261" spans="2:18" ht="15" thickBot="1" x14ac:dyDescent="0.35"/>
    <row r="262" spans="2:18" x14ac:dyDescent="0.3">
      <c r="B262" s="69" t="s">
        <v>90</v>
      </c>
      <c r="C262" s="69"/>
    </row>
    <row r="263" spans="2:18" x14ac:dyDescent="0.3">
      <c r="B263" t="s">
        <v>91</v>
      </c>
      <c r="C263">
        <v>0.61047547085278686</v>
      </c>
    </row>
    <row r="264" spans="2:18" x14ac:dyDescent="0.3">
      <c r="B264" t="s">
        <v>92</v>
      </c>
      <c r="C264">
        <v>0.37268030051293177</v>
      </c>
    </row>
    <row r="265" spans="2:18" x14ac:dyDescent="0.3">
      <c r="B265" t="s">
        <v>93</v>
      </c>
      <c r="C265">
        <v>0.3598253886381968</v>
      </c>
    </row>
    <row r="266" spans="2:18" x14ac:dyDescent="0.3">
      <c r="B266" t="s">
        <v>76</v>
      </c>
      <c r="C266">
        <v>97.427394921651313</v>
      </c>
    </row>
    <row r="267" spans="2:18" ht="15" thickBot="1" x14ac:dyDescent="0.35">
      <c r="B267" s="67" t="s">
        <v>94</v>
      </c>
      <c r="C267" s="67">
        <v>250</v>
      </c>
    </row>
    <row r="269" spans="2:18" ht="15" thickBot="1" x14ac:dyDescent="0.35">
      <c r="B269" t="s">
        <v>95</v>
      </c>
    </row>
    <row r="270" spans="2:18" x14ac:dyDescent="0.3">
      <c r="B270" s="68"/>
      <c r="C270" s="68" t="s">
        <v>100</v>
      </c>
      <c r="D270" s="68" t="s">
        <v>101</v>
      </c>
      <c r="E270" s="68" t="s">
        <v>102</v>
      </c>
      <c r="F270" s="68" t="s">
        <v>103</v>
      </c>
      <c r="G270" s="68" t="s">
        <v>104</v>
      </c>
    </row>
    <row r="271" spans="2:18" x14ac:dyDescent="0.3">
      <c r="B271" t="s">
        <v>96</v>
      </c>
      <c r="C271">
        <v>5</v>
      </c>
      <c r="D271">
        <v>1375940.0693424647</v>
      </c>
      <c r="E271">
        <v>275188.01386849291</v>
      </c>
      <c r="F271">
        <v>28.991276186451046</v>
      </c>
      <c r="G271">
        <v>4.6997982493869977E-23</v>
      </c>
    </row>
    <row r="272" spans="2:18" x14ac:dyDescent="0.3">
      <c r="B272" t="s">
        <v>97</v>
      </c>
      <c r="C272">
        <v>244</v>
      </c>
      <c r="D272">
        <v>2316071.7366175354</v>
      </c>
      <c r="E272">
        <v>9492.0972812194068</v>
      </c>
    </row>
    <row r="273" spans="2:10" ht="15" thickBot="1" x14ac:dyDescent="0.35">
      <c r="B273" s="67" t="s">
        <v>98</v>
      </c>
      <c r="C273" s="67">
        <v>249</v>
      </c>
      <c r="D273" s="67">
        <v>3692011.80596</v>
      </c>
      <c r="E273" s="67"/>
      <c r="F273" s="67"/>
      <c r="G273" s="67"/>
    </row>
    <row r="274" spans="2:10" ht="15" thickBot="1" x14ac:dyDescent="0.35"/>
    <row r="275" spans="2:10" x14ac:dyDescent="0.3">
      <c r="B275" s="68"/>
      <c r="C275" s="68" t="s">
        <v>105</v>
      </c>
      <c r="D275" s="68" t="s">
        <v>76</v>
      </c>
      <c r="E275" s="68" t="s">
        <v>106</v>
      </c>
      <c r="F275" s="68" t="s">
        <v>107</v>
      </c>
      <c r="G275" s="68" t="s">
        <v>108</v>
      </c>
      <c r="H275" s="68" t="s">
        <v>109</v>
      </c>
      <c r="I275" s="68" t="s">
        <v>110</v>
      </c>
      <c r="J275" s="68" t="s">
        <v>111</v>
      </c>
    </row>
    <row r="276" spans="2:10" x14ac:dyDescent="0.3">
      <c r="B276" t="s">
        <v>99</v>
      </c>
      <c r="C276">
        <v>-141.61111800326466</v>
      </c>
      <c r="D276">
        <v>46.750760656910984</v>
      </c>
      <c r="E276">
        <v>-3.0290655384733478</v>
      </c>
      <c r="F276" s="19">
        <v>2.7167604970691653E-3</v>
      </c>
      <c r="G276">
        <v>-233.69768043377252</v>
      </c>
      <c r="H276">
        <v>-49.524555572756825</v>
      </c>
      <c r="I276">
        <v>-233.69768043377252</v>
      </c>
      <c r="J276">
        <v>-49.524555572756825</v>
      </c>
    </row>
    <row r="277" spans="2:10" ht="28.8" x14ac:dyDescent="0.3">
      <c r="B277" s="1" t="s">
        <v>5</v>
      </c>
      <c r="C277">
        <v>-4.6012961778263252E-3</v>
      </c>
      <c r="D277">
        <v>1.4544373666735202E-3</v>
      </c>
      <c r="E277">
        <v>-3.1636262126227299</v>
      </c>
      <c r="F277" s="19">
        <v>1.7558782744589083E-3</v>
      </c>
      <c r="G277">
        <v>-7.466150898594287E-3</v>
      </c>
      <c r="H277">
        <v>-1.7364414570583634E-3</v>
      </c>
      <c r="I277">
        <v>-7.466150898594287E-3</v>
      </c>
      <c r="J277">
        <v>-1.7364414570583634E-3</v>
      </c>
    </row>
    <row r="278" spans="2:10" ht="28.8" x14ac:dyDescent="0.3">
      <c r="B278" s="1" t="s">
        <v>9</v>
      </c>
      <c r="C278">
        <v>83.524709198230369</v>
      </c>
      <c r="D278">
        <v>8.117989476368388</v>
      </c>
      <c r="E278">
        <v>10.288841768195473</v>
      </c>
      <c r="F278" s="19">
        <v>7.4099842258693865E-21</v>
      </c>
      <c r="G278">
        <v>67.534429377718084</v>
      </c>
      <c r="H278">
        <v>99.514989018742654</v>
      </c>
      <c r="I278">
        <v>67.534429377718084</v>
      </c>
      <c r="J278">
        <v>99.514989018742654</v>
      </c>
    </row>
    <row r="279" spans="2:10" ht="28.8" x14ac:dyDescent="0.3">
      <c r="B279" s="1" t="s">
        <v>13</v>
      </c>
      <c r="C279">
        <v>11.217734029650835</v>
      </c>
      <c r="D279">
        <v>5.0579967682044815</v>
      </c>
      <c r="E279">
        <v>2.2178215099241698</v>
      </c>
      <c r="F279" s="19">
        <v>2.7488588579115902E-2</v>
      </c>
      <c r="G279">
        <v>1.25482586251462</v>
      </c>
      <c r="H279">
        <v>21.180642196787048</v>
      </c>
      <c r="I279">
        <v>1.25482586251462</v>
      </c>
      <c r="J279">
        <v>21.180642196787048</v>
      </c>
    </row>
    <row r="280" spans="2:10" x14ac:dyDescent="0.3">
      <c r="B280" t="s">
        <v>134</v>
      </c>
      <c r="C280">
        <v>186.88120512594966</v>
      </c>
      <c r="D280">
        <v>120.11690261765204</v>
      </c>
      <c r="E280">
        <v>1.5558277066202515</v>
      </c>
      <c r="F280" s="19">
        <v>0.12104514634758987</v>
      </c>
      <c r="G280">
        <v>-49.717141006510928</v>
      </c>
      <c r="H280">
        <v>423.47955125841025</v>
      </c>
      <c r="I280">
        <v>-49.717141006510928</v>
      </c>
      <c r="J280">
        <v>423.47955125841025</v>
      </c>
    </row>
    <row r="281" spans="2:10" ht="29.4" thickBot="1" x14ac:dyDescent="0.35">
      <c r="B281" s="93" t="s">
        <v>6</v>
      </c>
      <c r="C281" s="67">
        <v>-25.975334683098644</v>
      </c>
      <c r="D281" s="67">
        <v>137.4709345175516</v>
      </c>
      <c r="E281" s="67">
        <v>-0.18895146653551151</v>
      </c>
      <c r="F281" s="20">
        <v>0.85028792565684186</v>
      </c>
      <c r="G281" s="67">
        <v>-296.75650735177067</v>
      </c>
      <c r="H281" s="67">
        <v>244.80583798557336</v>
      </c>
      <c r="I281" s="67">
        <v>-296.75650735177067</v>
      </c>
      <c r="J281" s="67">
        <v>244.80583798557336</v>
      </c>
    </row>
    <row r="282" spans="2:10" ht="15" thickBot="1" x14ac:dyDescent="0.35"/>
    <row r="283" spans="2:10" x14ac:dyDescent="0.3">
      <c r="D283" s="25"/>
      <c r="E283" s="26" t="s">
        <v>107</v>
      </c>
      <c r="F283" s="27"/>
      <c r="G283" s="44" t="s">
        <v>115</v>
      </c>
      <c r="H283" s="27"/>
      <c r="I283" s="28"/>
    </row>
    <row r="284" spans="2:10" ht="15.6" x14ac:dyDescent="0.3">
      <c r="D284" s="2" t="s">
        <v>124</v>
      </c>
      <c r="E284" s="35">
        <v>1.7558782744589083E-3</v>
      </c>
      <c r="F284" s="48" t="s">
        <v>112</v>
      </c>
      <c r="G284" s="36">
        <v>0.05</v>
      </c>
      <c r="H284" s="24" t="s">
        <v>113</v>
      </c>
      <c r="I284" s="29" t="s">
        <v>114</v>
      </c>
    </row>
    <row r="285" spans="2:10" ht="15.6" x14ac:dyDescent="0.3">
      <c r="D285" s="2" t="s">
        <v>125</v>
      </c>
      <c r="E285" s="35">
        <v>7.4099842258693865E-21</v>
      </c>
      <c r="F285" s="48" t="s">
        <v>112</v>
      </c>
      <c r="G285" s="36">
        <v>0.05</v>
      </c>
      <c r="H285" s="24" t="s">
        <v>113</v>
      </c>
      <c r="I285" s="29" t="s">
        <v>114</v>
      </c>
    </row>
    <row r="286" spans="2:10" ht="15.6" x14ac:dyDescent="0.3">
      <c r="D286" s="2" t="s">
        <v>126</v>
      </c>
      <c r="E286" s="35">
        <v>2.7488588579115902E-2</v>
      </c>
      <c r="F286" s="48" t="s">
        <v>112</v>
      </c>
      <c r="G286" s="36">
        <v>0.05</v>
      </c>
      <c r="H286" s="24" t="s">
        <v>113</v>
      </c>
      <c r="I286" s="29" t="s">
        <v>114</v>
      </c>
    </row>
    <row r="287" spans="2:10" ht="15.6" x14ac:dyDescent="0.3">
      <c r="D287" s="45" t="s">
        <v>8</v>
      </c>
      <c r="E287" s="35">
        <v>0.12104514634758987</v>
      </c>
      <c r="F287" s="48" t="s">
        <v>128</v>
      </c>
      <c r="G287" s="36">
        <v>0.05</v>
      </c>
      <c r="H287" s="24" t="s">
        <v>129</v>
      </c>
      <c r="I287" s="29" t="s">
        <v>130</v>
      </c>
    </row>
    <row r="288" spans="2:10" ht="16.2" thickBot="1" x14ac:dyDescent="0.35">
      <c r="D288" s="46" t="s">
        <v>127</v>
      </c>
      <c r="E288" s="47">
        <v>0.85028792565684186</v>
      </c>
      <c r="F288" s="49" t="s">
        <v>128</v>
      </c>
      <c r="G288" s="37">
        <v>0.05</v>
      </c>
      <c r="H288" s="30" t="s">
        <v>129</v>
      </c>
      <c r="I288" s="31" t="s">
        <v>130</v>
      </c>
    </row>
    <row r="290" spans="2:14" x14ac:dyDescent="0.3">
      <c r="B290" t="s">
        <v>89</v>
      </c>
    </row>
    <row r="291" spans="2:14" ht="15" thickBot="1" x14ac:dyDescent="0.35"/>
    <row r="292" spans="2:14" x14ac:dyDescent="0.3">
      <c r="B292" s="69" t="s">
        <v>90</v>
      </c>
      <c r="C292" s="69"/>
    </row>
    <row r="293" spans="2:14" x14ac:dyDescent="0.3">
      <c r="B293" t="s">
        <v>91</v>
      </c>
      <c r="C293" s="70">
        <v>0.60535689963193406</v>
      </c>
    </row>
    <row r="294" spans="2:14" x14ac:dyDescent="0.3">
      <c r="B294" t="s">
        <v>92</v>
      </c>
      <c r="C294" s="70">
        <v>0.36645697593198745</v>
      </c>
      <c r="D294" s="137" t="s">
        <v>193</v>
      </c>
      <c r="E294" s="137"/>
      <c r="F294" s="137"/>
      <c r="G294" s="137"/>
      <c r="H294" s="137"/>
    </row>
    <row r="295" spans="2:14" x14ac:dyDescent="0.3">
      <c r="B295" t="s">
        <v>93</v>
      </c>
      <c r="C295" s="70">
        <v>0.35873084149213363</v>
      </c>
      <c r="D295" s="137"/>
      <c r="E295" s="137"/>
      <c r="F295" s="137"/>
      <c r="G295" s="137"/>
      <c r="H295" s="137"/>
    </row>
    <row r="296" spans="2:14" x14ac:dyDescent="0.3">
      <c r="B296" t="s">
        <v>76</v>
      </c>
      <c r="C296" s="70">
        <v>97.51064824994657</v>
      </c>
      <c r="D296" s="137"/>
      <c r="E296" s="137"/>
      <c r="F296" s="137"/>
      <c r="G296" s="137"/>
      <c r="H296" s="137"/>
    </row>
    <row r="297" spans="2:14" ht="15" thickBot="1" x14ac:dyDescent="0.35">
      <c r="B297" s="67" t="s">
        <v>94</v>
      </c>
      <c r="C297" s="67">
        <v>250</v>
      </c>
    </row>
    <row r="299" spans="2:14" ht="15" thickBot="1" x14ac:dyDescent="0.35">
      <c r="B299" t="s">
        <v>95</v>
      </c>
    </row>
    <row r="300" spans="2:14" x14ac:dyDescent="0.3">
      <c r="B300" s="68"/>
      <c r="C300" s="68" t="s">
        <v>100</v>
      </c>
      <c r="D300" s="68" t="s">
        <v>101</v>
      </c>
      <c r="E300" s="68" t="s">
        <v>102</v>
      </c>
      <c r="F300" s="68" t="s">
        <v>103</v>
      </c>
      <c r="G300" s="68" t="s">
        <v>104</v>
      </c>
      <c r="I300" s="137" t="s">
        <v>133</v>
      </c>
      <c r="J300" s="137"/>
      <c r="K300" s="137"/>
      <c r="L300" s="137"/>
      <c r="M300" s="137"/>
      <c r="N300" s="137"/>
    </row>
    <row r="301" spans="2:14" x14ac:dyDescent="0.3">
      <c r="B301" t="s">
        <v>96</v>
      </c>
      <c r="C301" s="72">
        <v>3</v>
      </c>
      <c r="D301" s="72">
        <v>1352963.4815172972</v>
      </c>
      <c r="E301" s="72">
        <v>450987.82717243239</v>
      </c>
      <c r="F301" s="72">
        <v>47.43083087471117</v>
      </c>
      <c r="G301" s="72">
        <v>3.1783239807801933E-24</v>
      </c>
      <c r="H301" s="138" t="s">
        <v>116</v>
      </c>
      <c r="I301" s="137"/>
      <c r="J301" s="137"/>
      <c r="K301" s="137"/>
      <c r="L301" s="137"/>
      <c r="M301" s="137"/>
      <c r="N301" s="137"/>
    </row>
    <row r="302" spans="2:14" x14ac:dyDescent="0.3">
      <c r="B302" t="s">
        <v>97</v>
      </c>
      <c r="C302" s="72">
        <v>246</v>
      </c>
      <c r="D302" s="72">
        <v>2339048.3244427028</v>
      </c>
      <c r="E302" s="72">
        <v>9508.3265221248075</v>
      </c>
      <c r="F302" s="72"/>
      <c r="G302" s="72"/>
      <c r="H302" s="138"/>
      <c r="I302" s="137"/>
      <c r="J302" s="137"/>
      <c r="K302" s="137"/>
      <c r="L302" s="137"/>
      <c r="M302" s="137"/>
      <c r="N302" s="137"/>
    </row>
    <row r="303" spans="2:14" ht="15" thickBot="1" x14ac:dyDescent="0.35">
      <c r="B303" s="67" t="s">
        <v>98</v>
      </c>
      <c r="C303" s="73">
        <v>249</v>
      </c>
      <c r="D303" s="73">
        <v>3692011.80596</v>
      </c>
      <c r="E303" s="73"/>
      <c r="F303" s="73"/>
      <c r="G303" s="73"/>
      <c r="I303" s="137"/>
      <c r="J303" s="137"/>
      <c r="K303" s="137"/>
      <c r="L303" s="137"/>
      <c r="M303" s="137"/>
      <c r="N303" s="137"/>
    </row>
    <row r="304" spans="2:14" ht="15" thickBot="1" x14ac:dyDescent="0.35">
      <c r="I304" s="137"/>
      <c r="J304" s="137"/>
      <c r="K304" s="137"/>
      <c r="L304" s="137"/>
      <c r="M304" s="137"/>
      <c r="N304" s="137"/>
    </row>
    <row r="305" spans="2:10" x14ac:dyDescent="0.3">
      <c r="B305" s="68"/>
      <c r="C305" s="68" t="s">
        <v>105</v>
      </c>
      <c r="D305" s="68" t="s">
        <v>76</v>
      </c>
      <c r="E305" s="68" t="s">
        <v>106</v>
      </c>
      <c r="F305" s="68" t="s">
        <v>107</v>
      </c>
      <c r="G305" s="68" t="s">
        <v>108</v>
      </c>
      <c r="H305" s="68" t="s">
        <v>109</v>
      </c>
      <c r="I305" s="68" t="s">
        <v>110</v>
      </c>
      <c r="J305" s="68" t="s">
        <v>111</v>
      </c>
    </row>
    <row r="306" spans="2:10" x14ac:dyDescent="0.3">
      <c r="B306" t="s">
        <v>99</v>
      </c>
      <c r="C306" s="70">
        <v>-118.26200042131964</v>
      </c>
      <c r="D306" s="70">
        <v>44.075766578315502</v>
      </c>
      <c r="E306" s="70">
        <v>-2.6831524350503857</v>
      </c>
      <c r="F306" s="22">
        <v>7.787947177718856E-3</v>
      </c>
      <c r="G306" s="70">
        <v>-205.07601813058599</v>
      </c>
      <c r="H306" s="70">
        <v>-31.447982712053289</v>
      </c>
      <c r="I306" s="70">
        <v>-205.07601813058599</v>
      </c>
      <c r="J306" s="70">
        <v>-31.447982712053289</v>
      </c>
    </row>
    <row r="307" spans="2:10" ht="28.8" x14ac:dyDescent="0.3">
      <c r="B307" s="1" t="s">
        <v>5</v>
      </c>
      <c r="C307" s="70">
        <v>-5.053746770315946E-3</v>
      </c>
      <c r="D307" s="70">
        <v>1.4253985580508595E-3</v>
      </c>
      <c r="E307" s="70">
        <v>-3.5454973219747172</v>
      </c>
      <c r="F307" s="22">
        <v>4.68982335517447E-4</v>
      </c>
      <c r="G307" s="70">
        <v>-7.8612889929002318E-3</v>
      </c>
      <c r="H307" s="70">
        <v>-2.2462045477316612E-3</v>
      </c>
      <c r="I307" s="70">
        <v>-7.8612889929002318E-3</v>
      </c>
      <c r="J307" s="70">
        <v>-2.2462045477316612E-3</v>
      </c>
    </row>
    <row r="308" spans="2:10" ht="28.8" x14ac:dyDescent="0.3">
      <c r="B308" s="1" t="s">
        <v>9</v>
      </c>
      <c r="C308" s="70">
        <v>78.044456407429138</v>
      </c>
      <c r="D308" s="70">
        <v>6.7786730242540063</v>
      </c>
      <c r="E308" s="70">
        <v>11.513235131446384</v>
      </c>
      <c r="F308" s="22">
        <v>8.0522614297093332E-25</v>
      </c>
      <c r="G308" s="70">
        <v>64.692814776255858</v>
      </c>
      <c r="H308" s="70">
        <v>91.396098038602418</v>
      </c>
      <c r="I308" s="70">
        <v>64.692814776255858</v>
      </c>
      <c r="J308" s="70">
        <v>91.396098038602418</v>
      </c>
    </row>
    <row r="309" spans="2:10" ht="29.4" thickBot="1" x14ac:dyDescent="0.35">
      <c r="B309" s="93" t="s">
        <v>13</v>
      </c>
      <c r="C309" s="71">
        <v>12.075162093674109</v>
      </c>
      <c r="D309" s="71">
        <v>4.9126080764251219</v>
      </c>
      <c r="E309" s="71">
        <v>2.4579941867581545</v>
      </c>
      <c r="F309" s="23">
        <v>1.4661946086466728E-2</v>
      </c>
      <c r="G309" s="71">
        <v>2.3990230800130821</v>
      </c>
      <c r="H309" s="71">
        <v>21.751301107335138</v>
      </c>
      <c r="I309" s="71">
        <v>2.3990230800130821</v>
      </c>
      <c r="J309" s="71">
        <v>21.751301107335138</v>
      </c>
    </row>
    <row r="310" spans="2:10" ht="15" thickBot="1" x14ac:dyDescent="0.35"/>
    <row r="311" spans="2:10" x14ac:dyDescent="0.3">
      <c r="D311" s="25"/>
      <c r="E311" s="26" t="s">
        <v>107</v>
      </c>
      <c r="F311" s="27"/>
      <c r="G311" s="44" t="s">
        <v>115</v>
      </c>
      <c r="H311" s="27"/>
      <c r="I311" s="28"/>
    </row>
    <row r="312" spans="2:10" ht="15.6" x14ac:dyDescent="0.3">
      <c r="D312" s="2" t="s">
        <v>124</v>
      </c>
      <c r="E312" s="35">
        <v>4.68982335517447E-4</v>
      </c>
      <c r="F312" s="48" t="s">
        <v>112</v>
      </c>
      <c r="G312" s="36">
        <v>0.05</v>
      </c>
      <c r="H312" s="24" t="s">
        <v>113</v>
      </c>
      <c r="I312" s="29" t="s">
        <v>114</v>
      </c>
    </row>
    <row r="313" spans="2:10" ht="15.6" x14ac:dyDescent="0.3">
      <c r="D313" s="2" t="s">
        <v>125</v>
      </c>
      <c r="E313" s="35">
        <v>8.0522614297093332E-25</v>
      </c>
      <c r="F313" s="48" t="s">
        <v>112</v>
      </c>
      <c r="G313" s="36">
        <v>0.05</v>
      </c>
      <c r="H313" s="24" t="s">
        <v>113</v>
      </c>
      <c r="I313" s="29" t="s">
        <v>114</v>
      </c>
    </row>
    <row r="314" spans="2:10" ht="15.6" x14ac:dyDescent="0.3">
      <c r="D314" s="2" t="s">
        <v>126</v>
      </c>
      <c r="E314" s="35">
        <v>1.4661946086466728E-2</v>
      </c>
      <c r="F314" s="48" t="s">
        <v>112</v>
      </c>
      <c r="G314" s="36">
        <v>0.05</v>
      </c>
      <c r="H314" s="24" t="s">
        <v>113</v>
      </c>
      <c r="I314" s="29" t="s">
        <v>114</v>
      </c>
    </row>
    <row r="318" spans="2:10" x14ac:dyDescent="0.3">
      <c r="E318" s="13" t="s">
        <v>194</v>
      </c>
    </row>
    <row r="320" spans="2:10" ht="15" thickBot="1" x14ac:dyDescent="0.35">
      <c r="D320" s="13" t="s">
        <v>123</v>
      </c>
    </row>
    <row r="321" spans="4:9" x14ac:dyDescent="0.3">
      <c r="D321" s="125" t="s">
        <v>131</v>
      </c>
      <c r="E321" s="126"/>
      <c r="F321" s="126"/>
      <c r="G321" s="126"/>
      <c r="H321" s="126"/>
      <c r="I321" s="127"/>
    </row>
    <row r="322" spans="4:9" ht="15" thickBot="1" x14ac:dyDescent="0.35">
      <c r="D322" s="128"/>
      <c r="E322" s="129"/>
      <c r="F322" s="129"/>
      <c r="G322" s="129"/>
      <c r="H322" s="129"/>
      <c r="I322" s="130"/>
    </row>
  </sheetData>
  <mergeCells count="6">
    <mergeCell ref="I300:N304"/>
    <mergeCell ref="H301:H302"/>
    <mergeCell ref="D294:H296"/>
    <mergeCell ref="D321:I322"/>
    <mergeCell ref="C255:P255"/>
    <mergeCell ref="C256:P25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27C9-D883-4D85-8A8C-676A25AECFA0}">
  <dimension ref="A1:P33"/>
  <sheetViews>
    <sheetView zoomScale="89" workbookViewId="0">
      <selection activeCell="C1" sqref="C1"/>
    </sheetView>
  </sheetViews>
  <sheetFormatPr defaultRowHeight="12" customHeight="1" x14ac:dyDescent="0.3"/>
  <cols>
    <col min="3" max="3" width="16.77734375" bestFit="1" customWidth="1"/>
    <col min="4" max="4" width="10.5546875" bestFit="1" customWidth="1"/>
    <col min="5" max="5" width="17.6640625" bestFit="1" customWidth="1"/>
    <col min="6" max="6" width="11.21875" bestFit="1" customWidth="1"/>
    <col min="7" max="7" width="21.5546875" bestFit="1" customWidth="1"/>
    <col min="8" max="8" width="20.109375" bestFit="1" customWidth="1"/>
    <col min="9" max="9" width="25" customWidth="1"/>
    <col min="10" max="10" width="22.44140625" customWidth="1"/>
    <col min="11" max="11" width="11.5546875" bestFit="1" customWidth="1"/>
    <col min="12" max="12" width="10.5546875" bestFit="1" customWidth="1"/>
    <col min="13" max="16" width="11.21875" bestFit="1" customWidth="1"/>
  </cols>
  <sheetData>
    <row r="1" spans="1:16" ht="12" customHeight="1" thickBot="1" x14ac:dyDescent="0.35"/>
    <row r="2" spans="1:16" ht="12" customHeight="1" thickBot="1" x14ac:dyDescent="0.35">
      <c r="A2" s="13" t="s">
        <v>88</v>
      </c>
      <c r="B2" s="33" t="s">
        <v>117</v>
      </c>
      <c r="C2" s="131" t="s">
        <v>135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3"/>
    </row>
    <row r="3" spans="1:16" ht="12" customHeight="1" thickBot="1" x14ac:dyDescent="0.35">
      <c r="B3" s="14" t="s">
        <v>118</v>
      </c>
      <c r="C3" s="131" t="s">
        <v>136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3"/>
    </row>
    <row r="4" spans="1:16" ht="12" customHeight="1" thickBot="1" x14ac:dyDescent="0.35">
      <c r="B4" s="14" t="s">
        <v>119</v>
      </c>
      <c r="C4" s="34">
        <v>0.05</v>
      </c>
    </row>
    <row r="5" spans="1:16" ht="12" customHeight="1" x14ac:dyDescent="0.3">
      <c r="B5" s="13"/>
      <c r="C5" s="51"/>
    </row>
    <row r="7" spans="1:16" ht="12" customHeight="1" x14ac:dyDescent="0.3">
      <c r="B7" t="s">
        <v>89</v>
      </c>
    </row>
    <row r="8" spans="1:16" ht="12" customHeight="1" thickBot="1" x14ac:dyDescent="0.35"/>
    <row r="9" spans="1:16" ht="12" customHeight="1" x14ac:dyDescent="0.3">
      <c r="B9" s="69" t="s">
        <v>90</v>
      </c>
      <c r="C9" s="69"/>
    </row>
    <row r="10" spans="1:16" ht="12" customHeight="1" x14ac:dyDescent="0.3">
      <c r="B10" t="s">
        <v>91</v>
      </c>
      <c r="C10" s="70">
        <v>0.33234776261681975</v>
      </c>
    </row>
    <row r="11" spans="1:16" ht="12" customHeight="1" x14ac:dyDescent="0.3">
      <c r="B11" t="s">
        <v>92</v>
      </c>
      <c r="C11" s="70">
        <v>0.61045503531640599</v>
      </c>
      <c r="D11" s="145" t="s">
        <v>192</v>
      </c>
      <c r="E11" s="145"/>
      <c r="F11" s="145"/>
      <c r="G11" s="145"/>
      <c r="H11" s="145"/>
    </row>
    <row r="12" spans="1:16" ht="12" customHeight="1" x14ac:dyDescent="0.3">
      <c r="B12" t="s">
        <v>93</v>
      </c>
      <c r="C12" s="70">
        <v>0.58686816045881096</v>
      </c>
      <c r="D12" s="145"/>
      <c r="E12" s="145"/>
      <c r="F12" s="145"/>
      <c r="G12" s="145"/>
      <c r="H12" s="145"/>
    </row>
    <row r="13" spans="1:16" ht="12" customHeight="1" x14ac:dyDescent="0.3">
      <c r="B13" t="s">
        <v>76</v>
      </c>
      <c r="C13" s="70">
        <v>5.7883356878793625E-2</v>
      </c>
      <c r="D13" s="145"/>
      <c r="E13" s="145"/>
      <c r="F13" s="145"/>
      <c r="G13" s="145"/>
      <c r="H13" s="145"/>
    </row>
    <row r="14" spans="1:16" ht="12" customHeight="1" thickBot="1" x14ac:dyDescent="0.35">
      <c r="B14" s="67" t="s">
        <v>94</v>
      </c>
      <c r="C14" s="71">
        <v>250</v>
      </c>
    </row>
    <row r="16" spans="1:16" ht="12" customHeight="1" thickBot="1" x14ac:dyDescent="0.35">
      <c r="B16" t="s">
        <v>95</v>
      </c>
    </row>
    <row r="17" spans="2:14" ht="12" customHeight="1" x14ac:dyDescent="0.3">
      <c r="B17" s="68"/>
      <c r="C17" s="68" t="s">
        <v>100</v>
      </c>
      <c r="D17" s="68" t="s">
        <v>101</v>
      </c>
      <c r="E17" s="68" t="s">
        <v>102</v>
      </c>
      <c r="F17" s="68" t="s">
        <v>103</v>
      </c>
      <c r="G17" s="68" t="s">
        <v>104</v>
      </c>
      <c r="I17" s="137" t="s">
        <v>133</v>
      </c>
      <c r="J17" s="137"/>
      <c r="K17" s="137"/>
      <c r="L17" s="137"/>
      <c r="M17" s="137"/>
      <c r="N17" s="137"/>
    </row>
    <row r="18" spans="2:14" ht="12" customHeight="1" x14ac:dyDescent="0.3">
      <c r="B18" t="s">
        <v>96</v>
      </c>
      <c r="C18">
        <v>1</v>
      </c>
      <c r="D18" s="72">
        <v>0.10317553111766942</v>
      </c>
      <c r="E18" s="72">
        <v>0.10317553111766942</v>
      </c>
      <c r="F18" s="72">
        <v>30.794226088629664</v>
      </c>
      <c r="G18" s="72">
        <v>7.3533644584677139E-8</v>
      </c>
      <c r="H18" s="138" t="s">
        <v>116</v>
      </c>
      <c r="I18" s="137"/>
      <c r="J18" s="137"/>
      <c r="K18" s="137"/>
      <c r="L18" s="137"/>
      <c r="M18" s="137"/>
      <c r="N18" s="137"/>
    </row>
    <row r="19" spans="2:14" ht="12" customHeight="1" x14ac:dyDescent="0.3">
      <c r="B19" t="s">
        <v>97</v>
      </c>
      <c r="C19">
        <v>248</v>
      </c>
      <c r="D19" s="72">
        <v>0.83091978488233076</v>
      </c>
      <c r="E19" s="72">
        <v>3.3504830035577852E-3</v>
      </c>
      <c r="F19" s="72"/>
      <c r="G19" s="72"/>
      <c r="H19" s="138"/>
      <c r="I19" s="137"/>
      <c r="J19" s="137"/>
      <c r="K19" s="137"/>
      <c r="L19" s="137"/>
      <c r="M19" s="137"/>
      <c r="N19" s="137"/>
    </row>
    <row r="20" spans="2:14" ht="12" customHeight="1" thickBot="1" x14ac:dyDescent="0.35">
      <c r="B20" s="67" t="s">
        <v>98</v>
      </c>
      <c r="C20" s="67">
        <v>249</v>
      </c>
      <c r="D20" s="73">
        <v>0.93409531600000018</v>
      </c>
      <c r="E20" s="73"/>
      <c r="F20" s="73"/>
      <c r="G20" s="73"/>
      <c r="I20" s="137"/>
      <c r="J20" s="137"/>
      <c r="K20" s="137"/>
      <c r="L20" s="137"/>
      <c r="M20" s="137"/>
      <c r="N20" s="137"/>
    </row>
    <row r="21" spans="2:14" ht="12" customHeight="1" thickBot="1" x14ac:dyDescent="0.35">
      <c r="I21" s="137"/>
      <c r="J21" s="137"/>
      <c r="K21" s="137"/>
      <c r="L21" s="137"/>
      <c r="M21" s="137"/>
      <c r="N21" s="137"/>
    </row>
    <row r="22" spans="2:14" ht="12" customHeight="1" x14ac:dyDescent="0.3">
      <c r="B22" s="68"/>
      <c r="C22" s="68" t="s">
        <v>105</v>
      </c>
      <c r="D22" s="68" t="s">
        <v>76</v>
      </c>
      <c r="E22" s="68" t="s">
        <v>106</v>
      </c>
      <c r="F22" s="68" t="s">
        <v>107</v>
      </c>
      <c r="G22" s="68" t="s">
        <v>108</v>
      </c>
      <c r="H22" s="68" t="s">
        <v>109</v>
      </c>
      <c r="I22" s="68" t="s">
        <v>110</v>
      </c>
      <c r="J22" s="68" t="s">
        <v>111</v>
      </c>
    </row>
    <row r="23" spans="2:14" ht="12" customHeight="1" x14ac:dyDescent="0.3">
      <c r="B23" t="s">
        <v>99</v>
      </c>
      <c r="C23" s="70">
        <v>0.15303218041552741</v>
      </c>
      <c r="D23" s="70">
        <v>4.2224594973973512E-3</v>
      </c>
      <c r="E23" s="70">
        <v>36.242427075938494</v>
      </c>
      <c r="F23" s="70">
        <v>4.5065085897393122E-101</v>
      </c>
      <c r="G23" s="70">
        <v>0.14471572699103127</v>
      </c>
      <c r="H23" s="70">
        <v>0.16134863384002354</v>
      </c>
      <c r="I23" s="70">
        <v>0.14471572699103127</v>
      </c>
      <c r="J23" s="70">
        <v>0.16134863384002354</v>
      </c>
    </row>
    <row r="24" spans="2:14" ht="12" customHeight="1" thickBot="1" x14ac:dyDescent="0.35">
      <c r="B24" s="93" t="s">
        <v>5</v>
      </c>
      <c r="C24" s="71">
        <v>-3.2374131614054737E-6</v>
      </c>
      <c r="D24" s="71">
        <v>5.8339604549896206E-7</v>
      </c>
      <c r="E24" s="71">
        <v>-5.5492545525169037</v>
      </c>
      <c r="F24" s="71">
        <v>7.3533644584680527E-8</v>
      </c>
      <c r="G24" s="71">
        <v>-4.3864558090419751E-6</v>
      </c>
      <c r="H24" s="71">
        <v>-2.0883705137689724E-6</v>
      </c>
      <c r="I24" s="71">
        <v>-4.3864558090419751E-6</v>
      </c>
      <c r="J24" s="71">
        <v>-2.0883705137689724E-6</v>
      </c>
    </row>
    <row r="25" spans="2:14" ht="12" customHeight="1" thickBot="1" x14ac:dyDescent="0.35"/>
    <row r="26" spans="2:14" ht="12" customHeight="1" x14ac:dyDescent="0.3">
      <c r="E26" s="42"/>
      <c r="F26" s="42" t="s">
        <v>107</v>
      </c>
      <c r="G26" s="43" t="s">
        <v>115</v>
      </c>
      <c r="H26" s="43"/>
      <c r="I26" s="38"/>
      <c r="J26" s="38"/>
    </row>
    <row r="27" spans="2:14" ht="12" customHeight="1" thickBot="1" x14ac:dyDescent="0.35">
      <c r="E27" s="41" t="s">
        <v>12</v>
      </c>
      <c r="F27" s="41">
        <v>1.293648614093164E-14</v>
      </c>
      <c r="G27" s="40" t="s">
        <v>112</v>
      </c>
      <c r="H27" s="39">
        <v>0.05</v>
      </c>
      <c r="I27" s="32" t="s">
        <v>113</v>
      </c>
      <c r="J27" s="32" t="s">
        <v>114</v>
      </c>
    </row>
    <row r="30" spans="2:14" ht="12" customHeight="1" x14ac:dyDescent="0.3">
      <c r="D30" s="124" t="s">
        <v>191</v>
      </c>
      <c r="E30" s="124"/>
      <c r="F30" s="124"/>
      <c r="G30" s="124"/>
    </row>
    <row r="31" spans="2:14" ht="12" customHeight="1" thickBot="1" x14ac:dyDescent="0.35">
      <c r="D31" s="13" t="s">
        <v>123</v>
      </c>
    </row>
    <row r="32" spans="2:14" ht="12" customHeight="1" x14ac:dyDescent="0.3">
      <c r="D32" s="139" t="s">
        <v>136</v>
      </c>
      <c r="E32" s="140"/>
      <c r="F32" s="140"/>
      <c r="G32" s="140"/>
      <c r="H32" s="140"/>
      <c r="I32" s="141"/>
    </row>
    <row r="33" spans="4:9" ht="12" customHeight="1" thickBot="1" x14ac:dyDescent="0.35">
      <c r="D33" s="142"/>
      <c r="E33" s="143"/>
      <c r="F33" s="143"/>
      <c r="G33" s="143"/>
      <c r="H33" s="143"/>
      <c r="I33" s="144"/>
    </row>
  </sheetData>
  <mergeCells count="7">
    <mergeCell ref="C2:P2"/>
    <mergeCell ref="C3:P3"/>
    <mergeCell ref="D30:G30"/>
    <mergeCell ref="D32:I33"/>
    <mergeCell ref="I17:N21"/>
    <mergeCell ref="H18:H19"/>
    <mergeCell ref="D11:H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9206-06E7-47D3-8C56-D6B1E69E1414}">
  <dimension ref="B2:J348"/>
  <sheetViews>
    <sheetView topLeftCell="A322" workbookViewId="0">
      <selection activeCell="B348" sqref="B348"/>
    </sheetView>
  </sheetViews>
  <sheetFormatPr defaultRowHeight="14.4" x14ac:dyDescent="0.3"/>
  <cols>
    <col min="2" max="2" width="12.44140625" bestFit="1" customWidth="1"/>
    <col min="3" max="3" width="15.109375" bestFit="1" customWidth="1"/>
    <col min="4" max="4" width="15.6640625" customWidth="1"/>
    <col min="5" max="5" width="18.44140625" customWidth="1"/>
    <col min="6" max="6" width="11.44140625" customWidth="1"/>
    <col min="7" max="26" width="23.77734375" bestFit="1" customWidth="1"/>
    <col min="27" max="27" width="10.5546875" bestFit="1" customWidth="1"/>
  </cols>
  <sheetData>
    <row r="2" spans="2:7" x14ac:dyDescent="0.3">
      <c r="B2" s="122" t="s">
        <v>2</v>
      </c>
      <c r="C2" s="122" t="s">
        <v>0</v>
      </c>
      <c r="D2" s="122" t="s">
        <v>9</v>
      </c>
      <c r="E2" s="123" t="s">
        <v>195</v>
      </c>
      <c r="F2" s="122" t="s">
        <v>13</v>
      </c>
      <c r="G2" s="109"/>
    </row>
    <row r="3" spans="2:7" x14ac:dyDescent="0.3">
      <c r="B3" s="104" t="s">
        <v>15</v>
      </c>
      <c r="C3" s="104" t="s">
        <v>181</v>
      </c>
      <c r="D3" s="104">
        <v>0</v>
      </c>
      <c r="E3" s="107">
        <f>D3^2</f>
        <v>0</v>
      </c>
      <c r="F3" s="104">
        <v>7.506591780070841</v>
      </c>
      <c r="G3" s="56"/>
    </row>
    <row r="4" spans="2:7" x14ac:dyDescent="0.3">
      <c r="B4" s="104" t="s">
        <v>15</v>
      </c>
      <c r="C4" s="104" t="s">
        <v>182</v>
      </c>
      <c r="D4" s="104">
        <v>0</v>
      </c>
      <c r="E4" s="107">
        <f t="shared" ref="E4:E67" si="0">D4^2</f>
        <v>0</v>
      </c>
      <c r="F4" s="104">
        <v>7.6496926237115144</v>
      </c>
      <c r="G4" s="56"/>
    </row>
    <row r="5" spans="2:7" x14ac:dyDescent="0.3">
      <c r="B5" s="104" t="s">
        <v>15</v>
      </c>
      <c r="C5" s="104" t="s">
        <v>183</v>
      </c>
      <c r="D5" s="104">
        <v>0</v>
      </c>
      <c r="E5" s="107">
        <f t="shared" si="0"/>
        <v>0</v>
      </c>
      <c r="F5" s="104">
        <v>7.8038433035387724</v>
      </c>
      <c r="G5" s="56"/>
    </row>
    <row r="6" spans="2:7" x14ac:dyDescent="0.3">
      <c r="B6" s="104" t="s">
        <v>15</v>
      </c>
      <c r="C6" s="104" t="s">
        <v>184</v>
      </c>
      <c r="D6" s="104">
        <v>0</v>
      </c>
      <c r="E6" s="107">
        <f t="shared" si="0"/>
        <v>0</v>
      </c>
      <c r="F6" s="104">
        <v>7.8935720735049024</v>
      </c>
      <c r="G6" s="56"/>
    </row>
    <row r="7" spans="2:7" x14ac:dyDescent="0.3">
      <c r="B7" s="104" t="s">
        <v>15</v>
      </c>
      <c r="C7" s="104" t="s">
        <v>185</v>
      </c>
      <c r="D7" s="104">
        <v>0</v>
      </c>
      <c r="E7" s="107">
        <f t="shared" si="0"/>
        <v>0</v>
      </c>
      <c r="F7" s="104">
        <v>7.696212639346407</v>
      </c>
      <c r="G7" s="56"/>
    </row>
    <row r="8" spans="2:7" x14ac:dyDescent="0.3">
      <c r="B8" s="104" t="s">
        <v>15</v>
      </c>
      <c r="C8" s="104" t="s">
        <v>186</v>
      </c>
      <c r="D8" s="104">
        <v>0</v>
      </c>
      <c r="E8" s="107">
        <f t="shared" si="0"/>
        <v>0</v>
      </c>
      <c r="F8" s="104">
        <v>8.0391573904732372</v>
      </c>
      <c r="G8" s="56"/>
    </row>
    <row r="9" spans="2:7" x14ac:dyDescent="0.3">
      <c r="B9" s="104" t="s">
        <v>15</v>
      </c>
      <c r="C9" s="104" t="s">
        <v>14</v>
      </c>
      <c r="D9" s="104">
        <v>0</v>
      </c>
      <c r="E9" s="107">
        <f t="shared" si="0"/>
        <v>0</v>
      </c>
      <c r="F9" s="104">
        <v>8.2276427079044296</v>
      </c>
      <c r="G9" s="56"/>
    </row>
    <row r="10" spans="2:7" x14ac:dyDescent="0.3">
      <c r="B10" s="104" t="s">
        <v>15</v>
      </c>
      <c r="C10" s="104" t="s">
        <v>64</v>
      </c>
      <c r="D10" s="104">
        <v>0</v>
      </c>
      <c r="E10" s="107">
        <f t="shared" si="0"/>
        <v>0</v>
      </c>
      <c r="F10" s="104">
        <v>8.5690263400562543</v>
      </c>
    </row>
    <row r="11" spans="2:7" x14ac:dyDescent="0.3">
      <c r="B11" s="104" t="s">
        <v>15</v>
      </c>
      <c r="C11" s="104" t="s">
        <v>65</v>
      </c>
      <c r="D11" s="104">
        <v>5.5999999999999995E-4</v>
      </c>
      <c r="E11" s="107">
        <f t="shared" si="0"/>
        <v>3.1359999999999995E-7</v>
      </c>
      <c r="F11" s="104">
        <v>9.9358787475305057</v>
      </c>
    </row>
    <row r="12" spans="2:7" x14ac:dyDescent="0.3">
      <c r="B12" s="104" t="s">
        <v>15</v>
      </c>
      <c r="C12" s="104" t="s">
        <v>66</v>
      </c>
      <c r="D12" s="104">
        <v>5.4000000000000001E-4</v>
      </c>
      <c r="E12" s="107">
        <f t="shared" si="0"/>
        <v>2.9159999999999999E-7</v>
      </c>
      <c r="F12" s="104">
        <v>9.5967585671641125</v>
      </c>
    </row>
    <row r="13" spans="2:7" x14ac:dyDescent="0.3">
      <c r="B13" s="104" t="s">
        <v>18</v>
      </c>
      <c r="C13" s="104" t="s">
        <v>181</v>
      </c>
      <c r="D13" s="104">
        <v>1.58</v>
      </c>
      <c r="E13" s="107">
        <f t="shared" si="0"/>
        <v>2.4964000000000004</v>
      </c>
      <c r="F13" s="104">
        <v>11.461632170582678</v>
      </c>
    </row>
    <row r="14" spans="2:7" x14ac:dyDescent="0.3">
      <c r="B14" s="104" t="s">
        <v>18</v>
      </c>
      <c r="C14" s="104" t="s">
        <v>182</v>
      </c>
      <c r="D14" s="104">
        <v>1.52</v>
      </c>
      <c r="E14" s="107">
        <f t="shared" si="0"/>
        <v>2.3104</v>
      </c>
      <c r="F14" s="104">
        <v>11.492722757652709</v>
      </c>
    </row>
    <row r="15" spans="2:7" x14ac:dyDescent="0.3">
      <c r="B15" s="104" t="s">
        <v>18</v>
      </c>
      <c r="C15" s="104" t="s">
        <v>183</v>
      </c>
      <c r="D15" s="104">
        <v>1.48</v>
      </c>
      <c r="E15" s="107">
        <f t="shared" si="0"/>
        <v>2.1903999999999999</v>
      </c>
      <c r="F15" s="104">
        <v>11.580584113444043</v>
      </c>
    </row>
    <row r="16" spans="2:7" x14ac:dyDescent="0.3">
      <c r="B16" s="104" t="s">
        <v>18</v>
      </c>
      <c r="C16" s="104" t="s">
        <v>184</v>
      </c>
      <c r="D16" s="104">
        <v>1.44</v>
      </c>
      <c r="E16" s="107">
        <f t="shared" si="0"/>
        <v>2.0735999999999999</v>
      </c>
      <c r="F16" s="104">
        <v>11.661345470088502</v>
      </c>
    </row>
    <row r="17" spans="2:6" x14ac:dyDescent="0.3">
      <c r="B17" s="104" t="s">
        <v>18</v>
      </c>
      <c r="C17" s="104" t="s">
        <v>185</v>
      </c>
      <c r="D17" s="104">
        <v>1.5</v>
      </c>
      <c r="E17" s="107">
        <f t="shared" si="0"/>
        <v>2.25</v>
      </c>
      <c r="F17" s="104">
        <v>11.512925464970229</v>
      </c>
    </row>
    <row r="18" spans="2:6" x14ac:dyDescent="0.3">
      <c r="B18" s="104" t="s">
        <v>18</v>
      </c>
      <c r="C18" s="104" t="s">
        <v>186</v>
      </c>
      <c r="D18" s="104">
        <v>1.55</v>
      </c>
      <c r="E18" s="107">
        <f t="shared" si="0"/>
        <v>2.4025000000000003</v>
      </c>
      <c r="F18" s="104">
        <v>11.608235644774552</v>
      </c>
    </row>
    <row r="19" spans="2:6" x14ac:dyDescent="0.3">
      <c r="B19" s="104" t="s">
        <v>18</v>
      </c>
      <c r="C19" s="104" t="s">
        <v>14</v>
      </c>
      <c r="D19" s="104">
        <v>1.43</v>
      </c>
      <c r="E19" s="107">
        <f t="shared" si="0"/>
        <v>2.0448999999999997</v>
      </c>
      <c r="F19" s="104">
        <v>11.781860402897301</v>
      </c>
    </row>
    <row r="20" spans="2:6" x14ac:dyDescent="0.3">
      <c r="B20" s="104" t="s">
        <v>18</v>
      </c>
      <c r="C20" s="104" t="s">
        <v>64</v>
      </c>
      <c r="D20" s="104">
        <v>1.33</v>
      </c>
      <c r="E20" s="107">
        <f t="shared" si="0"/>
        <v>1.7689000000000001</v>
      </c>
      <c r="F20" s="104">
        <v>12.043165405355447</v>
      </c>
    </row>
    <row r="21" spans="2:6" x14ac:dyDescent="0.3">
      <c r="B21" s="104" t="s">
        <v>18</v>
      </c>
      <c r="C21" s="104" t="s">
        <v>65</v>
      </c>
      <c r="D21" s="104">
        <v>1.25</v>
      </c>
      <c r="E21" s="107">
        <f t="shared" si="0"/>
        <v>1.5625</v>
      </c>
      <c r="F21" s="104">
        <v>12.693913123154932</v>
      </c>
    </row>
    <row r="22" spans="2:6" x14ac:dyDescent="0.3">
      <c r="B22" s="104" t="s">
        <v>18</v>
      </c>
      <c r="C22" s="104" t="s">
        <v>66</v>
      </c>
      <c r="D22" s="104">
        <v>1.1499999999999999</v>
      </c>
      <c r="E22" s="107">
        <f t="shared" si="0"/>
        <v>1.3224999999999998</v>
      </c>
      <c r="F22" s="104">
        <v>12.75650640739071</v>
      </c>
    </row>
    <row r="23" spans="2:6" x14ac:dyDescent="0.3">
      <c r="B23" s="104" t="s">
        <v>19</v>
      </c>
      <c r="C23" s="104" t="s">
        <v>181</v>
      </c>
      <c r="D23" s="104">
        <v>2.92</v>
      </c>
      <c r="E23" s="107">
        <f t="shared" si="0"/>
        <v>8.5263999999999989</v>
      </c>
      <c r="F23" s="104">
        <v>9.2301429992723616</v>
      </c>
    </row>
    <row r="24" spans="2:6" x14ac:dyDescent="0.3">
      <c r="B24" s="104" t="s">
        <v>19</v>
      </c>
      <c r="C24" s="104" t="s">
        <v>182</v>
      </c>
      <c r="D24" s="104">
        <v>2.82</v>
      </c>
      <c r="E24" s="107">
        <f t="shared" si="0"/>
        <v>7.952399999999999</v>
      </c>
      <c r="F24" s="104">
        <v>9.2873014131123117</v>
      </c>
    </row>
    <row r="25" spans="2:6" x14ac:dyDescent="0.3">
      <c r="B25" s="104" t="s">
        <v>19</v>
      </c>
      <c r="C25" s="104" t="s">
        <v>183</v>
      </c>
      <c r="D25" s="104">
        <v>2.75</v>
      </c>
      <c r="E25" s="107">
        <f t="shared" si="0"/>
        <v>7.5625</v>
      </c>
      <c r="F25" s="104">
        <v>9.3501023143513411</v>
      </c>
    </row>
    <row r="26" spans="2:6" x14ac:dyDescent="0.3">
      <c r="B26" s="104" t="s">
        <v>19</v>
      </c>
      <c r="C26" s="104" t="s">
        <v>184</v>
      </c>
      <c r="D26" s="104">
        <v>2.68</v>
      </c>
      <c r="E26" s="107">
        <f t="shared" si="0"/>
        <v>7.1824000000000012</v>
      </c>
      <c r="F26" s="104">
        <v>9.4091912307213477</v>
      </c>
    </row>
    <row r="27" spans="2:6" x14ac:dyDescent="0.3">
      <c r="B27" s="104" t="s">
        <v>19</v>
      </c>
      <c r="C27" s="104" t="s">
        <v>185</v>
      </c>
      <c r="D27" s="104">
        <v>2.72</v>
      </c>
      <c r="E27" s="107">
        <f t="shared" si="0"/>
        <v>7.3984000000000014</v>
      </c>
      <c r="F27" s="104">
        <v>9.0938065557202314</v>
      </c>
    </row>
    <row r="28" spans="2:6" x14ac:dyDescent="0.3">
      <c r="B28" s="104" t="s">
        <v>19</v>
      </c>
      <c r="C28" s="104" t="s">
        <v>186</v>
      </c>
      <c r="D28" s="104">
        <v>2.65</v>
      </c>
      <c r="E28" s="107">
        <f t="shared" si="0"/>
        <v>7.0225</v>
      </c>
      <c r="F28" s="104">
        <v>9.7981270368783022</v>
      </c>
    </row>
    <row r="29" spans="2:6" x14ac:dyDescent="0.3">
      <c r="B29" s="104" t="s">
        <v>19</v>
      </c>
      <c r="C29" s="104" t="s">
        <v>14</v>
      </c>
      <c r="D29" s="104">
        <v>2.58</v>
      </c>
      <c r="E29" s="107">
        <f t="shared" si="0"/>
        <v>6.6564000000000005</v>
      </c>
      <c r="F29" s="104">
        <v>11.242703408761695</v>
      </c>
    </row>
    <row r="30" spans="2:6" x14ac:dyDescent="0.3">
      <c r="B30" s="104" t="s">
        <v>19</v>
      </c>
      <c r="C30" s="104" t="s">
        <v>64</v>
      </c>
      <c r="D30" s="104">
        <v>1.85</v>
      </c>
      <c r="E30" s="107">
        <f t="shared" si="0"/>
        <v>3.4225000000000003</v>
      </c>
      <c r="F30" s="104">
        <v>11.014933799184323</v>
      </c>
    </row>
    <row r="31" spans="2:6" x14ac:dyDescent="0.3">
      <c r="B31" s="104" t="s">
        <v>19</v>
      </c>
      <c r="C31" s="104" t="s">
        <v>65</v>
      </c>
      <c r="D31" s="104">
        <v>1.48</v>
      </c>
      <c r="E31" s="107">
        <f t="shared" si="0"/>
        <v>2.1903999999999999</v>
      </c>
      <c r="F31" s="104">
        <v>11.736069016284437</v>
      </c>
    </row>
    <row r="32" spans="2:6" x14ac:dyDescent="0.3">
      <c r="B32" s="104" t="s">
        <v>19</v>
      </c>
      <c r="C32" s="104" t="s">
        <v>66</v>
      </c>
      <c r="D32" s="104">
        <v>1.1000000000000001</v>
      </c>
      <c r="E32" s="107">
        <f t="shared" si="0"/>
        <v>1.2100000000000002</v>
      </c>
      <c r="F32" s="104">
        <v>11.695247021764184</v>
      </c>
    </row>
    <row r="33" spans="2:6" x14ac:dyDescent="0.3">
      <c r="B33" s="104" t="s">
        <v>21</v>
      </c>
      <c r="C33" s="104" t="s">
        <v>181</v>
      </c>
      <c r="D33" s="104">
        <v>1.85</v>
      </c>
      <c r="E33" s="107">
        <f t="shared" si="0"/>
        <v>3.4225000000000003</v>
      </c>
      <c r="F33" s="104">
        <v>8.8246778911641979</v>
      </c>
    </row>
    <row r="34" spans="2:6" x14ac:dyDescent="0.3">
      <c r="B34" s="104" t="s">
        <v>21</v>
      </c>
      <c r="C34" s="104" t="s">
        <v>182</v>
      </c>
      <c r="D34" s="104">
        <v>1.78</v>
      </c>
      <c r="E34" s="107">
        <f t="shared" si="0"/>
        <v>3.1684000000000001</v>
      </c>
      <c r="F34" s="104">
        <v>8.8818363050041462</v>
      </c>
    </row>
    <row r="35" spans="2:6" x14ac:dyDescent="0.3">
      <c r="B35" s="104" t="s">
        <v>21</v>
      </c>
      <c r="C35" s="104" t="s">
        <v>183</v>
      </c>
      <c r="D35" s="104">
        <v>1.82</v>
      </c>
      <c r="E35" s="107">
        <f t="shared" si="0"/>
        <v>3.3124000000000002</v>
      </c>
      <c r="F35" s="104">
        <v>8.7795574558837277</v>
      </c>
    </row>
    <row r="36" spans="2:6" x14ac:dyDescent="0.3">
      <c r="B36" s="104" t="s">
        <v>21</v>
      </c>
      <c r="C36" s="104" t="s">
        <v>184</v>
      </c>
      <c r="D36" s="104">
        <v>1.76</v>
      </c>
      <c r="E36" s="107">
        <f t="shared" si="0"/>
        <v>3.0975999999999999</v>
      </c>
      <c r="F36" s="104">
        <v>8.8678500630294064</v>
      </c>
    </row>
    <row r="37" spans="2:6" x14ac:dyDescent="0.3">
      <c r="B37" s="104" t="s">
        <v>21</v>
      </c>
      <c r="C37" s="104" t="s">
        <v>185</v>
      </c>
      <c r="D37" s="104">
        <v>1.8</v>
      </c>
      <c r="E37" s="107">
        <f t="shared" si="0"/>
        <v>3.24</v>
      </c>
      <c r="F37" s="104">
        <v>8.66561319653451</v>
      </c>
    </row>
    <row r="38" spans="2:6" x14ac:dyDescent="0.3">
      <c r="B38" s="104" t="s">
        <v>21</v>
      </c>
      <c r="C38" s="104" t="s">
        <v>186</v>
      </c>
      <c r="D38" s="104">
        <v>1.86</v>
      </c>
      <c r="E38" s="107">
        <f t="shared" si="0"/>
        <v>3.4596000000000005</v>
      </c>
      <c r="F38" s="104">
        <v>8.9226582995244019</v>
      </c>
    </row>
    <row r="39" spans="2:6" x14ac:dyDescent="0.3">
      <c r="B39" s="104" t="s">
        <v>21</v>
      </c>
      <c r="C39" s="104" t="s">
        <v>14</v>
      </c>
      <c r="D39" s="104">
        <v>0.89</v>
      </c>
      <c r="E39" s="107">
        <f t="shared" si="0"/>
        <v>0.79210000000000003</v>
      </c>
      <c r="F39" s="104">
        <v>9.4786867081212218</v>
      </c>
    </row>
    <row r="40" spans="2:6" x14ac:dyDescent="0.3">
      <c r="B40" s="104" t="s">
        <v>21</v>
      </c>
      <c r="C40" s="104" t="s">
        <v>64</v>
      </c>
      <c r="D40" s="104">
        <v>0.66</v>
      </c>
      <c r="E40" s="107">
        <f t="shared" si="0"/>
        <v>0.43560000000000004</v>
      </c>
      <c r="F40" s="104">
        <v>9.8681194086983375</v>
      </c>
    </row>
    <row r="41" spans="2:6" x14ac:dyDescent="0.3">
      <c r="B41" s="104" t="s">
        <v>21</v>
      </c>
      <c r="C41" s="104" t="s">
        <v>65</v>
      </c>
      <c r="D41" s="104">
        <v>0.98</v>
      </c>
      <c r="E41" s="107">
        <f t="shared" si="0"/>
        <v>0.96039999999999992</v>
      </c>
      <c r="F41" s="104">
        <v>10.093611921393103</v>
      </c>
    </row>
    <row r="42" spans="2:6" x14ac:dyDescent="0.3">
      <c r="B42" s="104" t="s">
        <v>21</v>
      </c>
      <c r="C42" s="104" t="s">
        <v>66</v>
      </c>
      <c r="D42" s="104">
        <v>0.74</v>
      </c>
      <c r="E42" s="107">
        <f t="shared" si="0"/>
        <v>0.54759999999999998</v>
      </c>
      <c r="F42" s="104">
        <v>10.153195134975888</v>
      </c>
    </row>
    <row r="43" spans="2:6" x14ac:dyDescent="0.3">
      <c r="B43" s="104" t="s">
        <v>23</v>
      </c>
      <c r="C43" s="104" t="s">
        <v>181</v>
      </c>
      <c r="D43" s="104">
        <v>1.88</v>
      </c>
      <c r="E43" s="107">
        <f t="shared" si="0"/>
        <v>3.5343999999999998</v>
      </c>
      <c r="F43" s="104">
        <v>11.156250521031495</v>
      </c>
    </row>
    <row r="44" spans="2:6" x14ac:dyDescent="0.3">
      <c r="B44" s="104" t="s">
        <v>23</v>
      </c>
      <c r="C44" s="104" t="s">
        <v>182</v>
      </c>
      <c r="D44" s="104">
        <v>1.85</v>
      </c>
      <c r="E44" s="107">
        <f t="shared" si="0"/>
        <v>3.4225000000000003</v>
      </c>
      <c r="F44" s="104">
        <v>11.238488619268468</v>
      </c>
    </row>
    <row r="45" spans="2:6" x14ac:dyDescent="0.3">
      <c r="B45" s="104" t="s">
        <v>23</v>
      </c>
      <c r="C45" s="104" t="s">
        <v>183</v>
      </c>
      <c r="D45" s="104">
        <v>1.8</v>
      </c>
      <c r="E45" s="107">
        <f t="shared" si="0"/>
        <v>3.24</v>
      </c>
      <c r="F45" s="104">
        <v>11.314474526246391</v>
      </c>
    </row>
    <row r="46" spans="2:6" x14ac:dyDescent="0.3">
      <c r="B46" s="104" t="s">
        <v>23</v>
      </c>
      <c r="C46" s="104" t="s">
        <v>184</v>
      </c>
      <c r="D46" s="104">
        <v>1.75</v>
      </c>
      <c r="E46" s="107">
        <f t="shared" si="0"/>
        <v>3.0625</v>
      </c>
      <c r="F46" s="104">
        <v>11.385092093460344</v>
      </c>
    </row>
    <row r="47" spans="2:6" x14ac:dyDescent="0.3">
      <c r="B47" s="104" t="s">
        <v>23</v>
      </c>
      <c r="C47" s="104" t="s">
        <v>185</v>
      </c>
      <c r="D47" s="104">
        <v>1.78</v>
      </c>
      <c r="E47" s="107">
        <f t="shared" si="0"/>
        <v>3.1684000000000001</v>
      </c>
      <c r="F47" s="104">
        <v>11.264464105671729</v>
      </c>
    </row>
    <row r="48" spans="2:6" x14ac:dyDescent="0.3">
      <c r="B48" s="104" t="s">
        <v>23</v>
      </c>
      <c r="C48" s="104" t="s">
        <v>186</v>
      </c>
      <c r="D48" s="104">
        <v>1.72</v>
      </c>
      <c r="E48" s="107">
        <f t="shared" si="0"/>
        <v>2.9583999999999997</v>
      </c>
      <c r="F48" s="104">
        <v>11.350406535472453</v>
      </c>
    </row>
    <row r="49" spans="2:6" x14ac:dyDescent="0.3">
      <c r="B49" s="104" t="s">
        <v>23</v>
      </c>
      <c r="C49" s="104" t="s">
        <v>14</v>
      </c>
      <c r="D49" s="104">
        <v>1.7027027027027026</v>
      </c>
      <c r="E49" s="107">
        <f t="shared" si="0"/>
        <v>2.8991964937910883</v>
      </c>
      <c r="F49" s="104">
        <v>11.680497107984655</v>
      </c>
    </row>
    <row r="50" spans="2:6" x14ac:dyDescent="0.3">
      <c r="B50" s="104" t="s">
        <v>23</v>
      </c>
      <c r="C50" s="104" t="s">
        <v>64</v>
      </c>
      <c r="D50" s="104">
        <v>1.5</v>
      </c>
      <c r="E50" s="107">
        <f t="shared" si="0"/>
        <v>2.25</v>
      </c>
      <c r="F50" s="104">
        <v>11.966736194008675</v>
      </c>
    </row>
    <row r="51" spans="2:6" x14ac:dyDescent="0.3">
      <c r="B51" s="104" t="s">
        <v>23</v>
      </c>
      <c r="C51" s="104" t="s">
        <v>65</v>
      </c>
      <c r="D51" s="104">
        <v>1.4047619047619047</v>
      </c>
      <c r="E51" s="107">
        <f t="shared" si="0"/>
        <v>1.9733560090702944</v>
      </c>
      <c r="F51" s="104">
        <v>12.45944273726421</v>
      </c>
    </row>
    <row r="52" spans="2:6" x14ac:dyDescent="0.3">
      <c r="B52" s="104" t="s">
        <v>23</v>
      </c>
      <c r="C52" s="104" t="s">
        <v>66</v>
      </c>
      <c r="D52" s="104">
        <v>1.4047619047619047</v>
      </c>
      <c r="E52" s="107">
        <f t="shared" si="0"/>
        <v>1.9733560090702944</v>
      </c>
      <c r="F52" s="104">
        <v>12.506680814868089</v>
      </c>
    </row>
    <row r="53" spans="2:6" x14ac:dyDescent="0.3">
      <c r="B53" s="104" t="s">
        <v>25</v>
      </c>
      <c r="C53" s="104" t="s">
        <v>181</v>
      </c>
      <c r="D53" s="104">
        <v>0</v>
      </c>
      <c r="E53" s="107">
        <f t="shared" si="0"/>
        <v>0</v>
      </c>
      <c r="F53" s="104">
        <v>7.0900768357760917</v>
      </c>
    </row>
    <row r="54" spans="2:6" x14ac:dyDescent="0.3">
      <c r="B54" s="104" t="s">
        <v>25</v>
      </c>
      <c r="C54" s="104" t="s">
        <v>182</v>
      </c>
      <c r="D54" s="104">
        <v>0</v>
      </c>
      <c r="E54" s="107">
        <f t="shared" si="0"/>
        <v>0</v>
      </c>
      <c r="F54" s="104">
        <v>7.3651801260210128</v>
      </c>
    </row>
    <row r="55" spans="2:6" x14ac:dyDescent="0.3">
      <c r="B55" s="104" t="s">
        <v>25</v>
      </c>
      <c r="C55" s="104" t="s">
        <v>183</v>
      </c>
      <c r="D55" s="104">
        <v>0</v>
      </c>
      <c r="E55" s="107">
        <f t="shared" si="0"/>
        <v>0</v>
      </c>
      <c r="F55" s="104">
        <v>7.696212639346407</v>
      </c>
    </row>
    <row r="56" spans="2:6" x14ac:dyDescent="0.3">
      <c r="B56" s="104" t="s">
        <v>25</v>
      </c>
      <c r="C56" s="104" t="s">
        <v>184</v>
      </c>
      <c r="D56" s="104">
        <v>0</v>
      </c>
      <c r="E56" s="107">
        <f t="shared" si="0"/>
        <v>0</v>
      </c>
      <c r="F56" s="104">
        <v>8.2427563457144775</v>
      </c>
    </row>
    <row r="57" spans="2:6" x14ac:dyDescent="0.3">
      <c r="B57" s="104" t="s">
        <v>25</v>
      </c>
      <c r="C57" s="104" t="s">
        <v>185</v>
      </c>
      <c r="D57" s="104">
        <v>0</v>
      </c>
      <c r="E57" s="107">
        <f t="shared" si="0"/>
        <v>0</v>
      </c>
      <c r="F57" s="104">
        <v>8.0709060887878188</v>
      </c>
    </row>
    <row r="58" spans="2:6" x14ac:dyDescent="0.3">
      <c r="B58" s="104" t="s">
        <v>25</v>
      </c>
      <c r="C58" s="104" t="s">
        <v>186</v>
      </c>
      <c r="D58" s="104">
        <v>0</v>
      </c>
      <c r="E58" s="107">
        <f t="shared" si="0"/>
        <v>0</v>
      </c>
      <c r="F58" s="104">
        <v>8.4763711968959825</v>
      </c>
    </row>
    <row r="59" spans="2:6" x14ac:dyDescent="0.3">
      <c r="B59" s="104" t="s">
        <v>25</v>
      </c>
      <c r="C59" s="104" t="s">
        <v>14</v>
      </c>
      <c r="D59" s="104">
        <v>0</v>
      </c>
      <c r="E59" s="107">
        <f t="shared" si="0"/>
        <v>0</v>
      </c>
      <c r="F59" s="104">
        <v>8.9074769775287379</v>
      </c>
    </row>
    <row r="60" spans="2:6" x14ac:dyDescent="0.3">
      <c r="B60" s="104" t="s">
        <v>25</v>
      </c>
      <c r="C60" s="104" t="s">
        <v>64</v>
      </c>
      <c r="D60" s="104">
        <v>0</v>
      </c>
      <c r="E60" s="107">
        <f t="shared" si="0"/>
        <v>0</v>
      </c>
      <c r="F60" s="104">
        <v>8.9860962152179393</v>
      </c>
    </row>
    <row r="61" spans="2:6" x14ac:dyDescent="0.3">
      <c r="B61" s="104" t="s">
        <v>25</v>
      </c>
      <c r="C61" s="104" t="s">
        <v>65</v>
      </c>
      <c r="D61" s="104">
        <v>0.22</v>
      </c>
      <c r="E61" s="107">
        <f t="shared" si="0"/>
        <v>4.8399999999999999E-2</v>
      </c>
      <c r="F61" s="104">
        <v>8.8431544088851144</v>
      </c>
    </row>
    <row r="62" spans="2:6" x14ac:dyDescent="0.3">
      <c r="B62" s="104" t="s">
        <v>25</v>
      </c>
      <c r="C62" s="104" t="s">
        <v>66</v>
      </c>
      <c r="D62" s="104">
        <v>0.34</v>
      </c>
      <c r="E62" s="107">
        <f t="shared" si="0"/>
        <v>0.11560000000000002</v>
      </c>
      <c r="F62" s="104">
        <v>8.7701077321674337</v>
      </c>
    </row>
    <row r="63" spans="2:6" x14ac:dyDescent="0.3">
      <c r="B63" s="104" t="s">
        <v>27</v>
      </c>
      <c r="C63" s="104" t="s">
        <v>181</v>
      </c>
      <c r="D63" s="104">
        <v>0</v>
      </c>
      <c r="E63" s="107">
        <f t="shared" si="0"/>
        <v>0</v>
      </c>
      <c r="F63" s="104">
        <v>8.5564139045695189</v>
      </c>
    </row>
    <row r="64" spans="2:6" x14ac:dyDescent="0.3">
      <c r="B64" s="104" t="s">
        <v>27</v>
      </c>
      <c r="C64" s="104" t="s">
        <v>182</v>
      </c>
      <c r="D64" s="104">
        <v>0</v>
      </c>
      <c r="E64" s="107">
        <f t="shared" si="0"/>
        <v>0</v>
      </c>
      <c r="F64" s="104">
        <v>9.0478214424784085</v>
      </c>
    </row>
    <row r="65" spans="2:6" x14ac:dyDescent="0.3">
      <c r="B65" s="104" t="s">
        <v>27</v>
      </c>
      <c r="C65" s="104" t="s">
        <v>183</v>
      </c>
      <c r="D65" s="104">
        <v>0</v>
      </c>
      <c r="E65" s="107">
        <f t="shared" si="0"/>
        <v>0</v>
      </c>
      <c r="F65" s="104">
        <v>9.1901376646586641</v>
      </c>
    </row>
    <row r="66" spans="2:6" x14ac:dyDescent="0.3">
      <c r="B66" s="104" t="s">
        <v>27</v>
      </c>
      <c r="C66" s="104" t="s">
        <v>184</v>
      </c>
      <c r="D66" s="104">
        <v>0</v>
      </c>
      <c r="E66" s="107">
        <f t="shared" si="0"/>
        <v>0</v>
      </c>
      <c r="F66" s="104">
        <v>8.8818363050041462</v>
      </c>
    </row>
    <row r="67" spans="2:6" x14ac:dyDescent="0.3">
      <c r="B67" s="104" t="s">
        <v>27</v>
      </c>
      <c r="C67" s="104" t="s">
        <v>185</v>
      </c>
      <c r="D67" s="104">
        <v>0</v>
      </c>
      <c r="E67" s="107">
        <f t="shared" si="0"/>
        <v>0</v>
      </c>
      <c r="F67" s="104">
        <v>8.4118326757584114</v>
      </c>
    </row>
    <row r="68" spans="2:6" x14ac:dyDescent="0.3">
      <c r="B68" s="104" t="s">
        <v>27</v>
      </c>
      <c r="C68" s="104" t="s">
        <v>186</v>
      </c>
      <c r="D68" s="104">
        <v>0</v>
      </c>
      <c r="E68" s="107">
        <f t="shared" ref="E68:E131" si="1">D68^2</f>
        <v>0</v>
      </c>
      <c r="F68" s="104">
        <v>8.4763711968959825</v>
      </c>
    </row>
    <row r="69" spans="2:6" x14ac:dyDescent="0.3">
      <c r="B69" s="104" t="s">
        <v>27</v>
      </c>
      <c r="C69" s="104" t="s">
        <v>14</v>
      </c>
      <c r="D69" s="104">
        <v>0</v>
      </c>
      <c r="E69" s="107">
        <f t="shared" si="1"/>
        <v>0</v>
      </c>
      <c r="F69" s="104">
        <v>8.7256697056870429</v>
      </c>
    </row>
    <row r="70" spans="2:6" x14ac:dyDescent="0.3">
      <c r="B70" s="104" t="s">
        <v>27</v>
      </c>
      <c r="C70" s="104" t="s">
        <v>64</v>
      </c>
      <c r="D70" s="104">
        <v>0</v>
      </c>
      <c r="E70" s="107">
        <f t="shared" si="1"/>
        <v>0</v>
      </c>
      <c r="F70" s="104">
        <v>9.0801177849262089</v>
      </c>
    </row>
    <row r="71" spans="2:6" x14ac:dyDescent="0.3">
      <c r="B71" s="104" t="s">
        <v>27</v>
      </c>
      <c r="C71" s="104" t="s">
        <v>65</v>
      </c>
      <c r="D71" s="104">
        <v>0</v>
      </c>
      <c r="E71" s="107">
        <f t="shared" si="1"/>
        <v>0</v>
      </c>
      <c r="F71" s="104">
        <v>9.5511602865908163</v>
      </c>
    </row>
    <row r="72" spans="2:6" x14ac:dyDescent="0.3">
      <c r="B72" s="104" t="s">
        <v>27</v>
      </c>
      <c r="C72" s="104" t="s">
        <v>66</v>
      </c>
      <c r="D72" s="104">
        <v>0</v>
      </c>
      <c r="E72" s="107">
        <f t="shared" si="1"/>
        <v>0</v>
      </c>
      <c r="F72" s="104">
        <v>10.003785273851491</v>
      </c>
    </row>
    <row r="73" spans="2:6" x14ac:dyDescent="0.3">
      <c r="B73" s="104" t="s">
        <v>29</v>
      </c>
      <c r="C73" s="104" t="s">
        <v>181</v>
      </c>
      <c r="D73" s="104">
        <v>0.72</v>
      </c>
      <c r="E73" s="107">
        <f t="shared" si="1"/>
        <v>0.51839999999999997</v>
      </c>
      <c r="F73" s="104">
        <v>7.5229409180723703</v>
      </c>
    </row>
    <row r="74" spans="2:6" x14ac:dyDescent="0.3">
      <c r="B74" s="104" t="s">
        <v>29</v>
      </c>
      <c r="C74" s="104" t="s">
        <v>182</v>
      </c>
      <c r="D74" s="104">
        <v>0.68</v>
      </c>
      <c r="E74" s="107">
        <f t="shared" si="1"/>
        <v>0.46240000000000009</v>
      </c>
      <c r="F74" s="104">
        <v>7.6496926237115144</v>
      </c>
    </row>
    <row r="75" spans="2:6" x14ac:dyDescent="0.3">
      <c r="B75" s="104" t="s">
        <v>29</v>
      </c>
      <c r="C75" s="104" t="s">
        <v>183</v>
      </c>
      <c r="D75" s="104">
        <v>0.65</v>
      </c>
      <c r="E75" s="107">
        <f t="shared" si="1"/>
        <v>0.42250000000000004</v>
      </c>
      <c r="F75" s="104">
        <v>7.8038433035387724</v>
      </c>
    </row>
    <row r="76" spans="2:6" x14ac:dyDescent="0.3">
      <c r="B76" s="104" t="s">
        <v>29</v>
      </c>
      <c r="C76" s="104" t="s">
        <v>184</v>
      </c>
      <c r="D76" s="104">
        <v>0.62</v>
      </c>
      <c r="E76" s="107">
        <f t="shared" si="1"/>
        <v>0.38440000000000002</v>
      </c>
      <c r="F76" s="104">
        <v>8.2427563457144775</v>
      </c>
    </row>
    <row r="77" spans="2:6" x14ac:dyDescent="0.3">
      <c r="B77" s="104" t="s">
        <v>29</v>
      </c>
      <c r="C77" s="104" t="s">
        <v>185</v>
      </c>
      <c r="D77" s="104">
        <v>0.6</v>
      </c>
      <c r="E77" s="107">
        <f t="shared" si="1"/>
        <v>0.36</v>
      </c>
      <c r="F77" s="104">
        <v>7.696212639346407</v>
      </c>
    </row>
    <row r="78" spans="2:6" x14ac:dyDescent="0.3">
      <c r="B78" s="104" t="s">
        <v>29</v>
      </c>
      <c r="C78" s="104" t="s">
        <v>186</v>
      </c>
      <c r="D78" s="104">
        <v>0.57999999999999996</v>
      </c>
      <c r="E78" s="107">
        <f t="shared" si="1"/>
        <v>0.33639999999999998</v>
      </c>
      <c r="F78" s="104">
        <v>7.8632667240095735</v>
      </c>
    </row>
    <row r="79" spans="2:6" x14ac:dyDescent="0.3">
      <c r="B79" s="104" t="s">
        <v>29</v>
      </c>
      <c r="C79" s="104" t="s">
        <v>14</v>
      </c>
      <c r="D79" s="104">
        <v>0.57999999999999996</v>
      </c>
      <c r="E79" s="107">
        <f t="shared" si="1"/>
        <v>0.33639999999999998</v>
      </c>
      <c r="F79" s="104">
        <v>8.0475095109814223</v>
      </c>
    </row>
    <row r="80" spans="2:6" x14ac:dyDescent="0.3">
      <c r="B80" s="104" t="s">
        <v>29</v>
      </c>
      <c r="C80" s="104" t="s">
        <v>64</v>
      </c>
      <c r="D80" s="104">
        <v>0.54</v>
      </c>
      <c r="E80" s="107">
        <f t="shared" si="1"/>
        <v>0.29160000000000003</v>
      </c>
      <c r="F80" s="104">
        <v>8.5310960965852285</v>
      </c>
    </row>
    <row r="81" spans="2:6" x14ac:dyDescent="0.3">
      <c r="B81" s="104" t="s">
        <v>29</v>
      </c>
      <c r="C81" s="104" t="s">
        <v>65</v>
      </c>
      <c r="D81" s="104">
        <v>0.54</v>
      </c>
      <c r="E81" s="107">
        <f t="shared" si="1"/>
        <v>0.29160000000000003</v>
      </c>
      <c r="F81" s="104">
        <v>8.948715833843691</v>
      </c>
    </row>
    <row r="82" spans="2:6" x14ac:dyDescent="0.3">
      <c r="B82" s="104" t="s">
        <v>29</v>
      </c>
      <c r="C82" s="104" t="s">
        <v>66</v>
      </c>
      <c r="D82" s="104">
        <v>0.52</v>
      </c>
      <c r="E82" s="107">
        <f t="shared" si="1"/>
        <v>0.27040000000000003</v>
      </c>
      <c r="F82" s="104">
        <v>8.8246778911641979</v>
      </c>
    </row>
    <row r="83" spans="2:6" x14ac:dyDescent="0.3">
      <c r="B83" s="104" t="s">
        <v>31</v>
      </c>
      <c r="C83" s="104" t="s">
        <v>181</v>
      </c>
      <c r="D83" s="104">
        <v>1.28</v>
      </c>
      <c r="E83" s="107">
        <f t="shared" si="1"/>
        <v>1.6384000000000001</v>
      </c>
      <c r="F83" s="104">
        <v>6.6846117276679271</v>
      </c>
    </row>
    <row r="84" spans="2:6" x14ac:dyDescent="0.3">
      <c r="B84" s="104" t="s">
        <v>31</v>
      </c>
      <c r="C84" s="104" t="s">
        <v>182</v>
      </c>
      <c r="D84" s="104">
        <v>1.22</v>
      </c>
      <c r="E84" s="107">
        <f t="shared" si="1"/>
        <v>1.4883999999999999</v>
      </c>
      <c r="F84" s="104">
        <v>6.956545443151569</v>
      </c>
    </row>
    <row r="85" spans="2:6" x14ac:dyDescent="0.3">
      <c r="B85" s="104" t="s">
        <v>31</v>
      </c>
      <c r="C85" s="104" t="s">
        <v>183</v>
      </c>
      <c r="D85" s="104">
        <v>1.1499999999999999</v>
      </c>
      <c r="E85" s="107">
        <f t="shared" si="1"/>
        <v>1.3224999999999998</v>
      </c>
      <c r="F85" s="104">
        <v>7.2997973667581606</v>
      </c>
    </row>
    <row r="86" spans="2:6" x14ac:dyDescent="0.3">
      <c r="B86" s="104" t="s">
        <v>31</v>
      </c>
      <c r="C86" s="104" t="s">
        <v>184</v>
      </c>
      <c r="D86" s="104">
        <v>1.1000000000000001</v>
      </c>
      <c r="E86" s="107">
        <f t="shared" si="1"/>
        <v>1.2100000000000002</v>
      </c>
      <c r="F86" s="104">
        <v>7.696212639346407</v>
      </c>
    </row>
    <row r="87" spans="2:6" x14ac:dyDescent="0.3">
      <c r="B87" s="104" t="s">
        <v>31</v>
      </c>
      <c r="C87" s="104" t="s">
        <v>185</v>
      </c>
      <c r="D87" s="104">
        <v>1.08</v>
      </c>
      <c r="E87" s="107">
        <f t="shared" si="1"/>
        <v>1.1664000000000001</v>
      </c>
      <c r="F87" s="104">
        <v>7.9373746961632952</v>
      </c>
    </row>
    <row r="88" spans="2:6" x14ac:dyDescent="0.3">
      <c r="B88" s="104" t="s">
        <v>31</v>
      </c>
      <c r="C88" s="104" t="s">
        <v>186</v>
      </c>
      <c r="D88" s="104">
        <v>1.1200000000000001</v>
      </c>
      <c r="E88" s="107">
        <f t="shared" si="1"/>
        <v>1.2544000000000002</v>
      </c>
      <c r="F88" s="104">
        <v>8.4763711968959825</v>
      </c>
    </row>
    <row r="89" spans="2:6" x14ac:dyDescent="0.3">
      <c r="B89" s="104" t="s">
        <v>31</v>
      </c>
      <c r="C89" s="104" t="s">
        <v>14</v>
      </c>
      <c r="D89" s="104">
        <v>1.1100000000000001</v>
      </c>
      <c r="E89" s="107">
        <f t="shared" si="1"/>
        <v>1.2321000000000002</v>
      </c>
      <c r="F89" s="104">
        <v>9.6137473636148751</v>
      </c>
    </row>
    <row r="90" spans="2:6" x14ac:dyDescent="0.3">
      <c r="B90" s="104" t="s">
        <v>31</v>
      </c>
      <c r="C90" s="104" t="s">
        <v>64</v>
      </c>
      <c r="D90" s="104">
        <v>0.92</v>
      </c>
      <c r="E90" s="107">
        <f t="shared" si="1"/>
        <v>0.84640000000000004</v>
      </c>
      <c r="F90" s="104">
        <v>9.1807756097168767</v>
      </c>
    </row>
    <row r="91" spans="2:6" x14ac:dyDescent="0.3">
      <c r="B91" s="104" t="s">
        <v>31</v>
      </c>
      <c r="C91" s="104" t="s">
        <v>65</v>
      </c>
      <c r="D91" s="104">
        <v>0.51</v>
      </c>
      <c r="E91" s="107">
        <f t="shared" si="1"/>
        <v>0.2601</v>
      </c>
      <c r="F91" s="104">
        <v>9.4452828414823475</v>
      </c>
    </row>
    <row r="92" spans="2:6" x14ac:dyDescent="0.3">
      <c r="B92" s="104" t="s">
        <v>31</v>
      </c>
      <c r="C92" s="104" t="s">
        <v>66</v>
      </c>
      <c r="D92" s="104">
        <v>0.59</v>
      </c>
      <c r="E92" s="107">
        <f t="shared" si="1"/>
        <v>0.34809999999999997</v>
      </c>
      <c r="F92" s="104">
        <v>9.2150423005644306</v>
      </c>
    </row>
    <row r="93" spans="2:6" x14ac:dyDescent="0.3">
      <c r="B93" s="104" t="s">
        <v>32</v>
      </c>
      <c r="C93" s="104" t="s">
        <v>181</v>
      </c>
      <c r="D93" s="104">
        <v>0.48</v>
      </c>
      <c r="E93" s="107">
        <f t="shared" si="1"/>
        <v>0.23039999999999999</v>
      </c>
      <c r="F93" s="104">
        <v>7.9373746961632952</v>
      </c>
    </row>
    <row r="94" spans="2:6" x14ac:dyDescent="0.3">
      <c r="B94" s="104" t="s">
        <v>32</v>
      </c>
      <c r="C94" s="104" t="s">
        <v>182</v>
      </c>
      <c r="D94" s="104">
        <v>0.45</v>
      </c>
      <c r="E94" s="107">
        <f t="shared" si="1"/>
        <v>0.20250000000000001</v>
      </c>
      <c r="F94" s="104">
        <v>8.1605182474775049</v>
      </c>
    </row>
    <row r="95" spans="2:6" x14ac:dyDescent="0.3">
      <c r="B95" s="104" t="s">
        <v>32</v>
      </c>
      <c r="C95" s="104" t="s">
        <v>183</v>
      </c>
      <c r="D95" s="104">
        <v>0.42</v>
      </c>
      <c r="E95" s="107">
        <f t="shared" si="1"/>
        <v>0.17639999999999997</v>
      </c>
      <c r="F95" s="104">
        <v>8.5564139045695189</v>
      </c>
    </row>
    <row r="96" spans="2:6" x14ac:dyDescent="0.3">
      <c r="B96" s="104" t="s">
        <v>32</v>
      </c>
      <c r="C96" s="104" t="s">
        <v>184</v>
      </c>
      <c r="D96" s="104">
        <v>0.4</v>
      </c>
      <c r="E96" s="107">
        <f t="shared" si="1"/>
        <v>0.16000000000000003</v>
      </c>
      <c r="F96" s="104">
        <v>8.7323045710331826</v>
      </c>
    </row>
    <row r="97" spans="2:6" x14ac:dyDescent="0.3">
      <c r="B97" s="104" t="s">
        <v>32</v>
      </c>
      <c r="C97" s="104" t="s">
        <v>185</v>
      </c>
      <c r="D97" s="104">
        <v>0.38</v>
      </c>
      <c r="E97" s="107">
        <f t="shared" si="1"/>
        <v>0.1444</v>
      </c>
      <c r="F97" s="104">
        <v>7.9373746961632952</v>
      </c>
    </row>
    <row r="98" spans="2:6" x14ac:dyDescent="0.3">
      <c r="B98" s="104" t="s">
        <v>32</v>
      </c>
      <c r="C98" s="104" t="s">
        <v>186</v>
      </c>
      <c r="D98" s="104">
        <v>0.35</v>
      </c>
      <c r="E98" s="107">
        <f t="shared" si="1"/>
        <v>0.12249999999999998</v>
      </c>
      <c r="F98" s="104">
        <v>8.3428398042714598</v>
      </c>
    </row>
    <row r="99" spans="2:6" x14ac:dyDescent="0.3">
      <c r="B99" s="104" t="s">
        <v>32</v>
      </c>
      <c r="C99" s="104" t="s">
        <v>14</v>
      </c>
      <c r="D99" s="104">
        <v>0.2</v>
      </c>
      <c r="E99" s="107">
        <f t="shared" si="1"/>
        <v>4.0000000000000008E-2</v>
      </c>
      <c r="F99" s="104">
        <v>8.9266503207939394</v>
      </c>
    </row>
    <row r="100" spans="2:6" x14ac:dyDescent="0.3">
      <c r="B100" s="104" t="s">
        <v>32</v>
      </c>
      <c r="C100" s="104" t="s">
        <v>64</v>
      </c>
      <c r="D100" s="104">
        <v>0.15</v>
      </c>
      <c r="E100" s="107">
        <f t="shared" si="1"/>
        <v>2.2499999999999999E-2</v>
      </c>
      <c r="F100" s="104">
        <v>9.5270471234685807</v>
      </c>
    </row>
    <row r="101" spans="2:6" x14ac:dyDescent="0.3">
      <c r="B101" s="104" t="s">
        <v>32</v>
      </c>
      <c r="C101" s="104" t="s">
        <v>65</v>
      </c>
      <c r="D101" s="104">
        <v>0.15</v>
      </c>
      <c r="E101" s="107">
        <f t="shared" si="1"/>
        <v>2.2499999999999999E-2</v>
      </c>
      <c r="F101" s="104">
        <v>9.7596749171702797</v>
      </c>
    </row>
    <row r="102" spans="2:6" x14ac:dyDescent="0.3">
      <c r="B102" s="104" t="s">
        <v>32</v>
      </c>
      <c r="C102" s="104" t="s">
        <v>66</v>
      </c>
      <c r="D102" s="104">
        <v>0.2</v>
      </c>
      <c r="E102" s="107">
        <f t="shared" si="1"/>
        <v>4.0000000000000008E-2</v>
      </c>
      <c r="F102" s="104">
        <v>9.6485953029073386</v>
      </c>
    </row>
    <row r="103" spans="2:6" x14ac:dyDescent="0.3">
      <c r="B103" s="104" t="s">
        <v>34</v>
      </c>
      <c r="C103" s="104" t="s">
        <v>181</v>
      </c>
      <c r="D103" s="104">
        <v>0.92</v>
      </c>
      <c r="E103" s="107">
        <f t="shared" si="1"/>
        <v>0.84640000000000004</v>
      </c>
      <c r="F103" s="104">
        <v>9.1269587630371323</v>
      </c>
    </row>
    <row r="104" spans="2:6" x14ac:dyDescent="0.3">
      <c r="B104" s="104" t="s">
        <v>34</v>
      </c>
      <c r="C104" s="104" t="s">
        <v>182</v>
      </c>
      <c r="D104" s="104">
        <v>0.88</v>
      </c>
      <c r="E104" s="107">
        <f t="shared" si="1"/>
        <v>0.77439999999999998</v>
      </c>
      <c r="F104" s="104">
        <v>9.259130536145614</v>
      </c>
    </row>
    <row r="105" spans="2:6" x14ac:dyDescent="0.3">
      <c r="B105" s="104" t="s">
        <v>34</v>
      </c>
      <c r="C105" s="104" t="s">
        <v>183</v>
      </c>
      <c r="D105" s="104">
        <v>0.85</v>
      </c>
      <c r="E105" s="107">
        <f t="shared" si="1"/>
        <v>0.72249999999999992</v>
      </c>
      <c r="F105" s="104">
        <v>9.375854810453756</v>
      </c>
    </row>
    <row r="106" spans="2:6" x14ac:dyDescent="0.3">
      <c r="B106" s="104" t="s">
        <v>34</v>
      </c>
      <c r="C106" s="104" t="s">
        <v>184</v>
      </c>
      <c r="D106" s="104">
        <v>0.82</v>
      </c>
      <c r="E106" s="107">
        <f t="shared" si="1"/>
        <v>0.67239999999999989</v>
      </c>
      <c r="F106" s="104">
        <v>9.4879721085744624</v>
      </c>
    </row>
    <row r="107" spans="2:6" x14ac:dyDescent="0.3">
      <c r="B107" s="104" t="s">
        <v>34</v>
      </c>
      <c r="C107" s="104" t="s">
        <v>185</v>
      </c>
      <c r="D107" s="104">
        <v>0.85</v>
      </c>
      <c r="E107" s="107">
        <f t="shared" si="1"/>
        <v>0.72249999999999992</v>
      </c>
      <c r="F107" s="104">
        <v>9.259130536145614</v>
      </c>
    </row>
    <row r="108" spans="2:6" x14ac:dyDescent="0.3">
      <c r="B108" s="104" t="s">
        <v>34</v>
      </c>
      <c r="C108" s="104" t="s">
        <v>186</v>
      </c>
      <c r="D108" s="104">
        <v>0.8</v>
      </c>
      <c r="E108" s="107">
        <f t="shared" si="1"/>
        <v>0.64000000000000012</v>
      </c>
      <c r="F108" s="104">
        <v>9.6677652190150578</v>
      </c>
    </row>
    <row r="109" spans="2:6" x14ac:dyDescent="0.3">
      <c r="B109" s="104" t="s">
        <v>34</v>
      </c>
      <c r="C109" s="104" t="s">
        <v>14</v>
      </c>
      <c r="D109" s="104">
        <v>0.76</v>
      </c>
      <c r="E109" s="107">
        <f t="shared" si="1"/>
        <v>0.5776</v>
      </c>
      <c r="F109" s="104">
        <v>10.070780070310322</v>
      </c>
    </row>
    <row r="110" spans="2:6" x14ac:dyDescent="0.3">
      <c r="B110" s="104" t="s">
        <v>34</v>
      </c>
      <c r="C110" s="104" t="s">
        <v>64</v>
      </c>
      <c r="D110" s="104">
        <v>0.86</v>
      </c>
      <c r="E110" s="107">
        <f t="shared" si="1"/>
        <v>0.73959999999999992</v>
      </c>
      <c r="F110" s="104">
        <v>10.149839688987219</v>
      </c>
    </row>
    <row r="111" spans="2:6" x14ac:dyDescent="0.3">
      <c r="B111" s="104" t="s">
        <v>34</v>
      </c>
      <c r="C111" s="104" t="s">
        <v>65</v>
      </c>
      <c r="D111" s="104">
        <v>0.84</v>
      </c>
      <c r="E111" s="107">
        <f t="shared" si="1"/>
        <v>0.70559999999999989</v>
      </c>
      <c r="F111" s="104">
        <v>11.083864143006878</v>
      </c>
    </row>
    <row r="112" spans="2:6" x14ac:dyDescent="0.3">
      <c r="B112" s="104" t="s">
        <v>34</v>
      </c>
      <c r="C112" s="104" t="s">
        <v>66</v>
      </c>
      <c r="D112" s="104">
        <v>0.43</v>
      </c>
      <c r="E112" s="107">
        <f t="shared" si="1"/>
        <v>0.18489999999999998</v>
      </c>
      <c r="F112" s="104">
        <v>11.224549818718403</v>
      </c>
    </row>
    <row r="113" spans="2:6" x14ac:dyDescent="0.3">
      <c r="B113" s="104" t="s">
        <v>36</v>
      </c>
      <c r="C113" s="104" t="s">
        <v>181</v>
      </c>
      <c r="D113" s="104">
        <v>0.62</v>
      </c>
      <c r="E113" s="107">
        <f t="shared" si="1"/>
        <v>0.38440000000000002</v>
      </c>
      <c r="F113" s="104">
        <v>7.9373746961632952</v>
      </c>
    </row>
    <row r="114" spans="2:6" x14ac:dyDescent="0.3">
      <c r="B114" s="104" t="s">
        <v>36</v>
      </c>
      <c r="C114" s="104" t="s">
        <v>182</v>
      </c>
      <c r="D114" s="104">
        <v>0.6</v>
      </c>
      <c r="E114" s="107">
        <f t="shared" si="1"/>
        <v>0.36</v>
      </c>
      <c r="F114" s="104">
        <v>8.1605182474775049</v>
      </c>
    </row>
    <row r="115" spans="2:6" x14ac:dyDescent="0.3">
      <c r="B115" s="104" t="s">
        <v>36</v>
      </c>
      <c r="C115" s="104" t="s">
        <v>183</v>
      </c>
      <c r="D115" s="104">
        <v>0.57999999999999996</v>
      </c>
      <c r="E115" s="107">
        <f t="shared" si="1"/>
        <v>0.33639999999999998</v>
      </c>
      <c r="F115" s="104">
        <v>8.3428398042714598</v>
      </c>
    </row>
    <row r="116" spans="2:6" x14ac:dyDescent="0.3">
      <c r="B116" s="104" t="s">
        <v>36</v>
      </c>
      <c r="C116" s="104" t="s">
        <v>184</v>
      </c>
      <c r="D116" s="104">
        <v>0.56000000000000005</v>
      </c>
      <c r="E116" s="107">
        <f t="shared" si="1"/>
        <v>0.31360000000000005</v>
      </c>
      <c r="F116" s="104">
        <v>8.4763711968959825</v>
      </c>
    </row>
    <row r="117" spans="2:6" x14ac:dyDescent="0.3">
      <c r="B117" s="104" t="s">
        <v>36</v>
      </c>
      <c r="C117" s="104" t="s">
        <v>185</v>
      </c>
      <c r="D117" s="104">
        <v>0.57999999999999996</v>
      </c>
      <c r="E117" s="107">
        <f t="shared" si="1"/>
        <v>0.33639999999999998</v>
      </c>
      <c r="F117" s="104">
        <v>8.0709060887878188</v>
      </c>
    </row>
    <row r="118" spans="2:6" x14ac:dyDescent="0.3">
      <c r="B118" s="104" t="s">
        <v>36</v>
      </c>
      <c r="C118" s="104" t="s">
        <v>186</v>
      </c>
      <c r="D118" s="104">
        <v>0.56000000000000005</v>
      </c>
      <c r="E118" s="107">
        <f t="shared" si="1"/>
        <v>0.31360000000000005</v>
      </c>
      <c r="F118" s="104">
        <v>8.2427563457144775</v>
      </c>
    </row>
    <row r="119" spans="2:6" x14ac:dyDescent="0.3">
      <c r="B119" s="104" t="s">
        <v>36</v>
      </c>
      <c r="C119" s="104" t="s">
        <v>14</v>
      </c>
      <c r="D119" s="104">
        <v>0.54</v>
      </c>
      <c r="E119" s="107">
        <f t="shared" si="1"/>
        <v>0.29160000000000003</v>
      </c>
      <c r="F119" s="104">
        <v>8.6052040687389511</v>
      </c>
    </row>
    <row r="120" spans="2:6" x14ac:dyDescent="0.3">
      <c r="B120" s="104" t="s">
        <v>36</v>
      </c>
      <c r="C120" s="104" t="s">
        <v>64</v>
      </c>
      <c r="D120" s="104">
        <v>0.55000000000000004</v>
      </c>
      <c r="E120" s="107">
        <f t="shared" si="1"/>
        <v>0.30250000000000005</v>
      </c>
      <c r="F120" s="104">
        <v>9.0701583413763203</v>
      </c>
    </row>
    <row r="121" spans="2:6" x14ac:dyDescent="0.3">
      <c r="B121" s="104" t="s">
        <v>36</v>
      </c>
      <c r="C121" s="104" t="s">
        <v>65</v>
      </c>
      <c r="D121" s="104">
        <v>0.56999999999999995</v>
      </c>
      <c r="E121" s="107">
        <f t="shared" si="1"/>
        <v>0.32489999999999997</v>
      </c>
      <c r="F121" s="104">
        <v>9.7630178597647337</v>
      </c>
    </row>
    <row r="122" spans="2:6" x14ac:dyDescent="0.3">
      <c r="B122" s="104" t="s">
        <v>36</v>
      </c>
      <c r="C122" s="104" t="s">
        <v>66</v>
      </c>
      <c r="D122" s="104">
        <v>0.47</v>
      </c>
      <c r="E122" s="107">
        <f t="shared" si="1"/>
        <v>0.22089999999999999</v>
      </c>
      <c r="F122" s="104">
        <v>9.7196848994603755</v>
      </c>
    </row>
    <row r="123" spans="2:6" x14ac:dyDescent="0.3">
      <c r="B123" s="104" t="s">
        <v>38</v>
      </c>
      <c r="C123" s="104" t="s">
        <v>181</v>
      </c>
      <c r="D123" s="104">
        <v>1.62</v>
      </c>
      <c r="E123" s="107">
        <f t="shared" si="1"/>
        <v>2.6244000000000005</v>
      </c>
      <c r="F123" s="104">
        <v>10.819778284410283</v>
      </c>
    </row>
    <row r="124" spans="2:6" x14ac:dyDescent="0.3">
      <c r="B124" s="104" t="s">
        <v>38</v>
      </c>
      <c r="C124" s="104" t="s">
        <v>182</v>
      </c>
      <c r="D124" s="104">
        <v>1.58</v>
      </c>
      <c r="E124" s="107">
        <f t="shared" si="1"/>
        <v>2.4964000000000004</v>
      </c>
      <c r="F124" s="104">
        <v>11.002099841204238</v>
      </c>
    </row>
    <row r="125" spans="2:6" x14ac:dyDescent="0.3">
      <c r="B125" s="104" t="s">
        <v>38</v>
      </c>
      <c r="C125" s="104" t="s">
        <v>183</v>
      </c>
      <c r="D125" s="104">
        <v>1.52</v>
      </c>
      <c r="E125" s="107">
        <f t="shared" si="1"/>
        <v>2.3104</v>
      </c>
      <c r="F125" s="104">
        <v>11.289781913656018</v>
      </c>
    </row>
    <row r="126" spans="2:6" x14ac:dyDescent="0.3">
      <c r="B126" s="104" t="s">
        <v>38</v>
      </c>
      <c r="C126" s="104" t="s">
        <v>184</v>
      </c>
      <c r="D126" s="104">
        <v>1.48</v>
      </c>
      <c r="E126" s="107">
        <f t="shared" si="1"/>
        <v>2.1903999999999999</v>
      </c>
      <c r="F126" s="104">
        <v>11.461632170582678</v>
      </c>
    </row>
    <row r="127" spans="2:6" x14ac:dyDescent="0.3">
      <c r="B127" s="104" t="s">
        <v>38</v>
      </c>
      <c r="C127" s="104" t="s">
        <v>185</v>
      </c>
      <c r="D127" s="104">
        <v>1.52</v>
      </c>
      <c r="E127" s="107">
        <f t="shared" si="1"/>
        <v>2.3104</v>
      </c>
      <c r="F127" s="104">
        <v>11.225243392518447</v>
      </c>
    </row>
    <row r="128" spans="2:6" x14ac:dyDescent="0.3">
      <c r="B128" s="104" t="s">
        <v>38</v>
      </c>
      <c r="C128" s="104" t="s">
        <v>186</v>
      </c>
      <c r="D128" s="104">
        <v>1.5</v>
      </c>
      <c r="E128" s="107">
        <f t="shared" si="1"/>
        <v>2.25</v>
      </c>
      <c r="F128" s="104">
        <v>11.512925464970229</v>
      </c>
    </row>
    <row r="129" spans="2:6" x14ac:dyDescent="0.3">
      <c r="B129" s="104" t="s">
        <v>38</v>
      </c>
      <c r="C129" s="104" t="s">
        <v>14</v>
      </c>
      <c r="D129" s="104">
        <v>1.48</v>
      </c>
      <c r="E129" s="107">
        <f t="shared" si="1"/>
        <v>2.1903999999999999</v>
      </c>
      <c r="F129" s="104">
        <v>12.018665972751595</v>
      </c>
    </row>
    <row r="130" spans="2:6" x14ac:dyDescent="0.3">
      <c r="B130" s="104" t="s">
        <v>38</v>
      </c>
      <c r="C130" s="104" t="s">
        <v>64</v>
      </c>
      <c r="D130" s="104">
        <v>1.65</v>
      </c>
      <c r="E130" s="107">
        <f t="shared" si="1"/>
        <v>2.7224999999999997</v>
      </c>
      <c r="F130" s="104">
        <v>11.822648594545413</v>
      </c>
    </row>
    <row r="131" spans="2:6" x14ac:dyDescent="0.3">
      <c r="B131" s="104" t="s">
        <v>38</v>
      </c>
      <c r="C131" s="104" t="s">
        <v>65</v>
      </c>
      <c r="D131" s="104">
        <v>1.69</v>
      </c>
      <c r="E131" s="107">
        <f t="shared" si="1"/>
        <v>2.8560999999999996</v>
      </c>
      <c r="F131" s="104">
        <v>12.576513615285879</v>
      </c>
    </row>
    <row r="132" spans="2:6" x14ac:dyDescent="0.3">
      <c r="B132" s="104" t="s">
        <v>38</v>
      </c>
      <c r="C132" s="104" t="s">
        <v>66</v>
      </c>
      <c r="D132" s="104">
        <v>1.69</v>
      </c>
      <c r="E132" s="107">
        <f t="shared" ref="E132:E195" si="2">D132^2</f>
        <v>2.8560999999999996</v>
      </c>
      <c r="F132" s="104">
        <v>12.450305929970243</v>
      </c>
    </row>
    <row r="133" spans="2:6" x14ac:dyDescent="0.3">
      <c r="B133" s="104" t="s">
        <v>40</v>
      </c>
      <c r="C133" s="104" t="s">
        <v>181</v>
      </c>
      <c r="D133" s="104">
        <v>0.68</v>
      </c>
      <c r="E133" s="107">
        <f t="shared" si="2"/>
        <v>0.46240000000000009</v>
      </c>
      <c r="F133" s="104">
        <v>6.7452363494843626</v>
      </c>
    </row>
    <row r="134" spans="2:6" x14ac:dyDescent="0.3">
      <c r="B134" s="104" t="s">
        <v>40</v>
      </c>
      <c r="C134" s="104" t="s">
        <v>182</v>
      </c>
      <c r="D134" s="104">
        <v>0.65</v>
      </c>
      <c r="E134" s="107">
        <f t="shared" si="2"/>
        <v>0.42250000000000004</v>
      </c>
      <c r="F134" s="104">
        <v>6.8243736700430864</v>
      </c>
    </row>
    <row r="135" spans="2:6" x14ac:dyDescent="0.3">
      <c r="B135" s="104" t="s">
        <v>40</v>
      </c>
      <c r="C135" s="104" t="s">
        <v>183</v>
      </c>
      <c r="D135" s="104">
        <v>0.62</v>
      </c>
      <c r="E135" s="107">
        <f t="shared" si="2"/>
        <v>0.38440000000000002</v>
      </c>
      <c r="F135" s="104">
        <v>6.956545443151569</v>
      </c>
    </row>
    <row r="136" spans="2:6" x14ac:dyDescent="0.3">
      <c r="B136" s="104" t="s">
        <v>40</v>
      </c>
      <c r="C136" s="104" t="s">
        <v>184</v>
      </c>
      <c r="D136" s="104">
        <v>0.6</v>
      </c>
      <c r="E136" s="107">
        <f t="shared" si="2"/>
        <v>0.36</v>
      </c>
      <c r="F136" s="104">
        <v>6.8875525716646173</v>
      </c>
    </row>
    <row r="137" spans="2:6" x14ac:dyDescent="0.3">
      <c r="B137" s="104" t="s">
        <v>40</v>
      </c>
      <c r="C137" s="104" t="s">
        <v>185</v>
      </c>
      <c r="D137" s="104">
        <v>0.62</v>
      </c>
      <c r="E137" s="107">
        <f t="shared" si="2"/>
        <v>0.38440000000000002</v>
      </c>
      <c r="F137" s="104">
        <v>6.522092798170152</v>
      </c>
    </row>
    <row r="138" spans="2:6" x14ac:dyDescent="0.3">
      <c r="B138" s="104" t="s">
        <v>40</v>
      </c>
      <c r="C138" s="104" t="s">
        <v>186</v>
      </c>
      <c r="D138" s="104">
        <v>0.57999999999999996</v>
      </c>
      <c r="E138" s="107">
        <f t="shared" si="2"/>
        <v>0.33639999999999998</v>
      </c>
      <c r="F138" s="104">
        <v>6.7093043402582984</v>
      </c>
    </row>
    <row r="139" spans="2:6" x14ac:dyDescent="0.3">
      <c r="B139" s="104" t="s">
        <v>40</v>
      </c>
      <c r="C139" s="104" t="s">
        <v>14</v>
      </c>
      <c r="D139" s="104">
        <v>0.54</v>
      </c>
      <c r="E139" s="107">
        <f t="shared" si="2"/>
        <v>0.29160000000000003</v>
      </c>
      <c r="F139" s="104">
        <v>6.9697906699015899</v>
      </c>
    </row>
    <row r="140" spans="2:6" x14ac:dyDescent="0.3">
      <c r="B140" s="104" t="s">
        <v>40</v>
      </c>
      <c r="C140" s="104" t="s">
        <v>64</v>
      </c>
      <c r="D140" s="104">
        <v>0.73</v>
      </c>
      <c r="E140" s="107">
        <f t="shared" si="2"/>
        <v>0.53289999999999993</v>
      </c>
      <c r="F140" s="104">
        <v>7.2196420401307355</v>
      </c>
    </row>
    <row r="141" spans="2:6" x14ac:dyDescent="0.3">
      <c r="B141" s="104" t="s">
        <v>40</v>
      </c>
      <c r="C141" s="104" t="s">
        <v>65</v>
      </c>
      <c r="D141" s="104">
        <v>0.26</v>
      </c>
      <c r="E141" s="107">
        <f t="shared" si="2"/>
        <v>6.7600000000000007E-2</v>
      </c>
      <c r="F141" s="104">
        <v>8.3485378253860976</v>
      </c>
    </row>
    <row r="142" spans="2:6" x14ac:dyDescent="0.3">
      <c r="B142" s="104" t="s">
        <v>40</v>
      </c>
      <c r="C142" s="104" t="s">
        <v>66</v>
      </c>
      <c r="D142" s="104">
        <v>0.32</v>
      </c>
      <c r="E142" s="107">
        <f t="shared" si="2"/>
        <v>0.1024</v>
      </c>
      <c r="F142" s="104">
        <v>8.3272426074577925</v>
      </c>
    </row>
    <row r="143" spans="2:6" x14ac:dyDescent="0.3">
      <c r="B143" s="104" t="s">
        <v>42</v>
      </c>
      <c r="C143" s="104" t="s">
        <v>181</v>
      </c>
      <c r="D143" s="104">
        <v>2.85</v>
      </c>
      <c r="E143" s="107">
        <f t="shared" si="2"/>
        <v>8.1225000000000005</v>
      </c>
      <c r="F143" s="104">
        <v>6.3969296552161463</v>
      </c>
    </row>
    <row r="144" spans="2:6" x14ac:dyDescent="0.3">
      <c r="B144" s="104" t="s">
        <v>42</v>
      </c>
      <c r="C144" s="104" t="s">
        <v>182</v>
      </c>
      <c r="D144" s="104">
        <v>2.72</v>
      </c>
      <c r="E144" s="107">
        <f t="shared" si="2"/>
        <v>7.3984000000000014</v>
      </c>
      <c r="F144" s="104">
        <v>6.7452363494843626</v>
      </c>
    </row>
    <row r="145" spans="2:6" x14ac:dyDescent="0.3">
      <c r="B145" s="104" t="s">
        <v>42</v>
      </c>
      <c r="C145" s="104" t="s">
        <v>183</v>
      </c>
      <c r="D145" s="104">
        <v>2.62</v>
      </c>
      <c r="E145" s="107">
        <f t="shared" si="2"/>
        <v>6.8644000000000007</v>
      </c>
      <c r="F145" s="104">
        <v>7.0900768357760917</v>
      </c>
    </row>
    <row r="146" spans="2:6" x14ac:dyDescent="0.3">
      <c r="B146" s="104" t="s">
        <v>42</v>
      </c>
      <c r="C146" s="104" t="s">
        <v>184</v>
      </c>
      <c r="D146" s="104">
        <v>2.52</v>
      </c>
      <c r="E146" s="107">
        <f t="shared" si="2"/>
        <v>6.3504000000000005</v>
      </c>
      <c r="F146" s="104">
        <v>7.4085305668946262</v>
      </c>
    </row>
    <row r="147" spans="2:6" x14ac:dyDescent="0.3">
      <c r="B147" s="104" t="s">
        <v>42</v>
      </c>
      <c r="C147" s="104" t="s">
        <v>185</v>
      </c>
      <c r="D147" s="104">
        <v>2.4500000000000002</v>
      </c>
      <c r="E147" s="107">
        <f t="shared" si="2"/>
        <v>6.0025000000000013</v>
      </c>
      <c r="F147" s="104">
        <v>7.5755846515577927</v>
      </c>
    </row>
    <row r="148" spans="2:6" x14ac:dyDescent="0.3">
      <c r="B148" s="104" t="s">
        <v>42</v>
      </c>
      <c r="C148" s="104" t="s">
        <v>186</v>
      </c>
      <c r="D148" s="104">
        <v>2.35</v>
      </c>
      <c r="E148" s="107">
        <f t="shared" si="2"/>
        <v>5.5225000000000009</v>
      </c>
      <c r="F148" s="104">
        <v>7.8632667240095735</v>
      </c>
    </row>
    <row r="149" spans="2:6" x14ac:dyDescent="0.3">
      <c r="B149" s="104" t="s">
        <v>42</v>
      </c>
      <c r="C149" s="104" t="s">
        <v>14</v>
      </c>
      <c r="D149" s="104">
        <v>2.27</v>
      </c>
      <c r="E149" s="107">
        <f t="shared" si="2"/>
        <v>5.1528999999999998</v>
      </c>
      <c r="F149" s="104">
        <v>8.1496017357361552</v>
      </c>
    </row>
    <row r="150" spans="2:6" x14ac:dyDescent="0.3">
      <c r="B150" s="104" t="s">
        <v>42</v>
      </c>
      <c r="C150" s="104" t="s">
        <v>64</v>
      </c>
      <c r="D150" s="104">
        <v>2.0299999999999998</v>
      </c>
      <c r="E150" s="107">
        <f t="shared" si="2"/>
        <v>4.1208999999999989</v>
      </c>
      <c r="F150" s="104">
        <v>8.316055720364643</v>
      </c>
    </row>
    <row r="151" spans="2:6" x14ac:dyDescent="0.3">
      <c r="B151" s="104" t="s">
        <v>42</v>
      </c>
      <c r="C151" s="104" t="s">
        <v>65</v>
      </c>
      <c r="D151" s="104">
        <v>0.69</v>
      </c>
      <c r="E151" s="107">
        <f t="shared" si="2"/>
        <v>0.47609999999999991</v>
      </c>
      <c r="F151" s="104">
        <v>10.84978358889661</v>
      </c>
    </row>
    <row r="152" spans="2:6" x14ac:dyDescent="0.3">
      <c r="B152" s="104" t="s">
        <v>42</v>
      </c>
      <c r="C152" s="104" t="s">
        <v>66</v>
      </c>
      <c r="D152" s="104">
        <v>0.66</v>
      </c>
      <c r="E152" s="107">
        <f t="shared" si="2"/>
        <v>0.43560000000000004</v>
      </c>
      <c r="F152" s="104">
        <v>11.114803331117322</v>
      </c>
    </row>
    <row r="153" spans="2:6" x14ac:dyDescent="0.3">
      <c r="B153" s="104" t="s">
        <v>44</v>
      </c>
      <c r="C153" s="104" t="s">
        <v>181</v>
      </c>
      <c r="D153" s="104">
        <v>0.62</v>
      </c>
      <c r="E153" s="107">
        <f t="shared" si="2"/>
        <v>0.38440000000000002</v>
      </c>
      <c r="F153" s="104">
        <v>8.0709060887878188</v>
      </c>
    </row>
    <row r="154" spans="2:6" x14ac:dyDescent="0.3">
      <c r="B154" s="104" t="s">
        <v>44</v>
      </c>
      <c r="C154" s="104" t="s">
        <v>182</v>
      </c>
      <c r="D154" s="104">
        <v>0.57999999999999996</v>
      </c>
      <c r="E154" s="107">
        <f t="shared" si="2"/>
        <v>0.33639999999999998</v>
      </c>
      <c r="F154" s="104">
        <v>8.2427563457144775</v>
      </c>
    </row>
    <row r="155" spans="2:6" x14ac:dyDescent="0.3">
      <c r="B155" s="104" t="s">
        <v>44</v>
      </c>
      <c r="C155" s="104" t="s">
        <v>183</v>
      </c>
      <c r="D155" s="104">
        <v>0.55000000000000004</v>
      </c>
      <c r="E155" s="107">
        <f t="shared" si="2"/>
        <v>0.30250000000000005</v>
      </c>
      <c r="F155" s="104">
        <v>8.4118326757584114</v>
      </c>
    </row>
    <row r="156" spans="2:6" x14ac:dyDescent="0.3">
      <c r="B156" s="104" t="s">
        <v>44</v>
      </c>
      <c r="C156" s="104" t="s">
        <v>184</v>
      </c>
      <c r="D156" s="104">
        <v>0.52</v>
      </c>
      <c r="E156" s="107">
        <f t="shared" si="2"/>
        <v>0.27040000000000003</v>
      </c>
      <c r="F156" s="104">
        <v>8.5564139045695189</v>
      </c>
    </row>
    <row r="157" spans="2:6" x14ac:dyDescent="0.3">
      <c r="B157" s="104" t="s">
        <v>44</v>
      </c>
      <c r="C157" s="104" t="s">
        <v>185</v>
      </c>
      <c r="D157" s="104">
        <v>0.5</v>
      </c>
      <c r="E157" s="107">
        <f t="shared" si="2"/>
        <v>0.25</v>
      </c>
      <c r="F157" s="104">
        <v>8.4763711968959825</v>
      </c>
    </row>
    <row r="158" spans="2:6" x14ac:dyDescent="0.3">
      <c r="B158" s="104" t="s">
        <v>44</v>
      </c>
      <c r="C158" s="104" t="s">
        <v>186</v>
      </c>
      <c r="D158" s="104">
        <v>0.48</v>
      </c>
      <c r="E158" s="107">
        <f t="shared" si="2"/>
        <v>0.23039999999999999</v>
      </c>
      <c r="F158" s="104">
        <v>8.9226582995244019</v>
      </c>
    </row>
    <row r="159" spans="2:6" x14ac:dyDescent="0.3">
      <c r="B159" s="104" t="s">
        <v>44</v>
      </c>
      <c r="C159" s="104" t="s">
        <v>14</v>
      </c>
      <c r="D159" s="104">
        <v>1.17</v>
      </c>
      <c r="E159" s="107">
        <f t="shared" si="2"/>
        <v>1.3688999999999998</v>
      </c>
      <c r="F159" s="104">
        <v>10.320354083368734</v>
      </c>
    </row>
    <row r="160" spans="2:6" x14ac:dyDescent="0.3">
      <c r="B160" s="104" t="s">
        <v>44</v>
      </c>
      <c r="C160" s="104" t="s">
        <v>64</v>
      </c>
      <c r="D160" s="104">
        <v>0.99</v>
      </c>
      <c r="E160" s="107">
        <f t="shared" si="2"/>
        <v>0.98009999999999997</v>
      </c>
      <c r="F160" s="104">
        <v>10.705825404334252</v>
      </c>
    </row>
    <row r="161" spans="2:6" x14ac:dyDescent="0.3">
      <c r="B161" s="104" t="s">
        <v>44</v>
      </c>
      <c r="C161" s="104" t="s">
        <v>65</v>
      </c>
      <c r="D161" s="104">
        <v>0.76</v>
      </c>
      <c r="E161" s="107">
        <f t="shared" si="2"/>
        <v>0.5776</v>
      </c>
      <c r="F161" s="104">
        <v>11.168785909439716</v>
      </c>
    </row>
    <row r="162" spans="2:6" x14ac:dyDescent="0.3">
      <c r="B162" s="104" t="s">
        <v>44</v>
      </c>
      <c r="C162" s="104" t="s">
        <v>66</v>
      </c>
      <c r="D162" s="104">
        <v>0.62</v>
      </c>
      <c r="E162" s="107">
        <f t="shared" si="2"/>
        <v>0.38440000000000002</v>
      </c>
      <c r="F162" s="104">
        <v>11.018350415789994</v>
      </c>
    </row>
    <row r="163" spans="2:6" x14ac:dyDescent="0.3">
      <c r="B163" s="104" t="s">
        <v>46</v>
      </c>
      <c r="C163" s="104" t="s">
        <v>181</v>
      </c>
      <c r="D163" s="104">
        <v>0.78</v>
      </c>
      <c r="E163" s="107">
        <f t="shared" si="2"/>
        <v>0.60840000000000005</v>
      </c>
      <c r="F163" s="104">
        <v>8.7795574558837277</v>
      </c>
    </row>
    <row r="164" spans="2:6" x14ac:dyDescent="0.3">
      <c r="B164" s="104" t="s">
        <v>46</v>
      </c>
      <c r="C164" s="104" t="s">
        <v>182</v>
      </c>
      <c r="D164" s="104">
        <v>0.75</v>
      </c>
      <c r="E164" s="107">
        <f t="shared" si="2"/>
        <v>0.5625</v>
      </c>
      <c r="F164" s="104">
        <v>9.0118894332523443</v>
      </c>
    </row>
    <row r="165" spans="2:6" x14ac:dyDescent="0.3">
      <c r="B165" s="104" t="s">
        <v>46</v>
      </c>
      <c r="C165" s="104" t="s">
        <v>183</v>
      </c>
      <c r="D165" s="104">
        <v>0.72</v>
      </c>
      <c r="E165" s="107">
        <f t="shared" si="2"/>
        <v>0.51839999999999997</v>
      </c>
      <c r="F165" s="104">
        <v>9.259130536145614</v>
      </c>
    </row>
    <row r="166" spans="2:6" x14ac:dyDescent="0.3">
      <c r="B166" s="104" t="s">
        <v>46</v>
      </c>
      <c r="C166" s="104" t="s">
        <v>184</v>
      </c>
      <c r="D166" s="104">
        <v>0.7</v>
      </c>
      <c r="E166" s="107">
        <f t="shared" si="2"/>
        <v>0.48999999999999994</v>
      </c>
      <c r="F166" s="104">
        <v>9.7981270368783022</v>
      </c>
    </row>
    <row r="167" spans="2:6" x14ac:dyDescent="0.3">
      <c r="B167" s="104" t="s">
        <v>46</v>
      </c>
      <c r="C167" s="104" t="s">
        <v>185</v>
      </c>
      <c r="D167" s="104">
        <v>0.68</v>
      </c>
      <c r="E167" s="107">
        <f t="shared" si="2"/>
        <v>0.46240000000000009</v>
      </c>
      <c r="F167" s="104">
        <v>9.3926619287701367</v>
      </c>
    </row>
    <row r="168" spans="2:6" x14ac:dyDescent="0.3">
      <c r="B168" s="104" t="s">
        <v>46</v>
      </c>
      <c r="C168" s="104" t="s">
        <v>186</v>
      </c>
      <c r="D168" s="104">
        <v>0.65</v>
      </c>
      <c r="E168" s="107">
        <f t="shared" si="2"/>
        <v>0.42250000000000004</v>
      </c>
      <c r="F168" s="104">
        <v>10.126631103850338</v>
      </c>
    </row>
    <row r="169" spans="2:6" x14ac:dyDescent="0.3">
      <c r="B169" s="104" t="s">
        <v>46</v>
      </c>
      <c r="C169" s="104" t="s">
        <v>14</v>
      </c>
      <c r="D169" s="104">
        <v>0.64</v>
      </c>
      <c r="E169" s="107">
        <f t="shared" si="2"/>
        <v>0.40960000000000002</v>
      </c>
      <c r="F169" s="104">
        <v>11.829151261539234</v>
      </c>
    </row>
    <row r="170" spans="2:6" x14ac:dyDescent="0.3">
      <c r="B170" s="104" t="s">
        <v>46</v>
      </c>
      <c r="C170" s="104" t="s">
        <v>64</v>
      </c>
      <c r="D170" s="104">
        <v>0.67</v>
      </c>
      <c r="E170" s="107">
        <f t="shared" si="2"/>
        <v>0.44890000000000008</v>
      </c>
      <c r="F170" s="104">
        <v>12.237886185492489</v>
      </c>
    </row>
    <row r="171" spans="2:6" x14ac:dyDescent="0.3">
      <c r="B171" s="104" t="s">
        <v>46</v>
      </c>
      <c r="C171" s="104" t="s">
        <v>65</v>
      </c>
      <c r="D171" s="104">
        <v>0.65</v>
      </c>
      <c r="E171" s="107">
        <f t="shared" si="2"/>
        <v>0.42250000000000004</v>
      </c>
      <c r="F171" s="104">
        <v>12.722476680985153</v>
      </c>
    </row>
    <row r="172" spans="2:6" x14ac:dyDescent="0.3">
      <c r="B172" s="104" t="s">
        <v>46</v>
      </c>
      <c r="C172" s="104" t="s">
        <v>66</v>
      </c>
      <c r="D172" s="104">
        <v>0.63</v>
      </c>
      <c r="E172" s="107">
        <f t="shared" si="2"/>
        <v>0.39690000000000003</v>
      </c>
      <c r="F172" s="104">
        <v>12.594730635321957</v>
      </c>
    </row>
    <row r="173" spans="2:6" x14ac:dyDescent="0.3">
      <c r="B173" s="104" t="s">
        <v>48</v>
      </c>
      <c r="C173" s="104" t="s">
        <v>181</v>
      </c>
      <c r="D173" s="104">
        <v>0.22</v>
      </c>
      <c r="E173" s="107">
        <f t="shared" si="2"/>
        <v>4.8399999999999999E-2</v>
      </c>
      <c r="F173" s="104">
        <v>7.1308988302963465</v>
      </c>
    </row>
    <row r="174" spans="2:6" x14ac:dyDescent="0.3">
      <c r="B174" s="104" t="s">
        <v>48</v>
      </c>
      <c r="C174" s="104" t="s">
        <v>182</v>
      </c>
      <c r="D174" s="104">
        <v>0.2</v>
      </c>
      <c r="E174" s="107">
        <f t="shared" si="2"/>
        <v>4.0000000000000008E-2</v>
      </c>
      <c r="F174" s="104">
        <v>7.4265490723973047</v>
      </c>
    </row>
    <row r="175" spans="2:6" x14ac:dyDescent="0.3">
      <c r="B175" s="104" t="s">
        <v>48</v>
      </c>
      <c r="C175" s="104" t="s">
        <v>183</v>
      </c>
      <c r="D175" s="104">
        <v>0.18</v>
      </c>
      <c r="E175" s="107">
        <f t="shared" si="2"/>
        <v>3.2399999999999998E-2</v>
      </c>
      <c r="F175" s="104">
        <v>7.9373746961632952</v>
      </c>
    </row>
    <row r="176" spans="2:6" x14ac:dyDescent="0.3">
      <c r="B176" s="104" t="s">
        <v>48</v>
      </c>
      <c r="C176" s="104" t="s">
        <v>184</v>
      </c>
      <c r="D176" s="104">
        <v>0.16</v>
      </c>
      <c r="E176" s="107">
        <f t="shared" si="2"/>
        <v>2.5600000000000001E-2</v>
      </c>
      <c r="F176" s="104">
        <v>8.2427563457144775</v>
      </c>
    </row>
    <row r="177" spans="2:6" x14ac:dyDescent="0.3">
      <c r="B177" s="104" t="s">
        <v>48</v>
      </c>
      <c r="C177" s="104" t="s">
        <v>185</v>
      </c>
      <c r="D177" s="104">
        <v>0.18</v>
      </c>
      <c r="E177" s="107">
        <f t="shared" si="2"/>
        <v>3.2399999999999998E-2</v>
      </c>
      <c r="F177" s="104">
        <v>7.696212639346407</v>
      </c>
    </row>
    <row r="178" spans="2:6" x14ac:dyDescent="0.3">
      <c r="B178" s="104" t="s">
        <v>48</v>
      </c>
      <c r="C178" s="104" t="s">
        <v>186</v>
      </c>
      <c r="D178" s="104">
        <v>0.16</v>
      </c>
      <c r="E178" s="107">
        <f t="shared" si="2"/>
        <v>2.5600000000000001E-2</v>
      </c>
      <c r="F178" s="104">
        <v>8.1605182474775049</v>
      </c>
    </row>
    <row r="179" spans="2:6" x14ac:dyDescent="0.3">
      <c r="B179" s="104" t="s">
        <v>48</v>
      </c>
      <c r="C179" s="104" t="s">
        <v>14</v>
      </c>
      <c r="D179" s="104">
        <v>0.11</v>
      </c>
      <c r="E179" s="107">
        <f t="shared" si="2"/>
        <v>1.21E-2</v>
      </c>
      <c r="F179" s="104">
        <v>8.794824928014517</v>
      </c>
    </row>
    <row r="180" spans="2:6" x14ac:dyDescent="0.3">
      <c r="B180" s="104" t="s">
        <v>48</v>
      </c>
      <c r="C180" s="104" t="s">
        <v>64</v>
      </c>
      <c r="D180" s="104">
        <v>0.08</v>
      </c>
      <c r="E180" s="107">
        <f t="shared" si="2"/>
        <v>6.4000000000000003E-3</v>
      </c>
      <c r="F180" s="104">
        <v>8.9092352791922611</v>
      </c>
    </row>
    <row r="181" spans="2:6" x14ac:dyDescent="0.3">
      <c r="B181" s="104" t="s">
        <v>48</v>
      </c>
      <c r="C181" s="104" t="s">
        <v>65</v>
      </c>
      <c r="D181" s="104">
        <v>1.35</v>
      </c>
      <c r="E181" s="107">
        <f t="shared" si="2"/>
        <v>1.8225000000000002</v>
      </c>
      <c r="F181" s="104">
        <v>9.3231331994513056</v>
      </c>
    </row>
    <row r="182" spans="2:6" x14ac:dyDescent="0.3">
      <c r="B182" s="104" t="s">
        <v>48</v>
      </c>
      <c r="C182" s="104" t="s">
        <v>66</v>
      </c>
      <c r="D182" s="104">
        <v>1.37</v>
      </c>
      <c r="E182" s="107">
        <f t="shared" si="2"/>
        <v>1.8769000000000002</v>
      </c>
      <c r="F182" s="104">
        <v>8.7787879291047002</v>
      </c>
    </row>
    <row r="183" spans="2:6" x14ac:dyDescent="0.3">
      <c r="B183" s="104" t="s">
        <v>50</v>
      </c>
      <c r="C183" s="104" t="s">
        <v>181</v>
      </c>
      <c r="D183" s="104">
        <v>0.38</v>
      </c>
      <c r="E183" s="107">
        <f t="shared" si="2"/>
        <v>0.1444</v>
      </c>
      <c r="F183" s="104">
        <v>6.0402547112774139</v>
      </c>
    </row>
    <row r="184" spans="2:6" x14ac:dyDescent="0.3">
      <c r="B184" s="104" t="s">
        <v>50</v>
      </c>
      <c r="C184" s="104" t="s">
        <v>182</v>
      </c>
      <c r="D184" s="104">
        <v>0.35</v>
      </c>
      <c r="E184" s="107">
        <f t="shared" si="2"/>
        <v>0.12249999999999998</v>
      </c>
      <c r="F184" s="104">
        <v>6.363028103540465</v>
      </c>
    </row>
    <row r="185" spans="2:6" x14ac:dyDescent="0.3">
      <c r="B185" s="104" t="s">
        <v>50</v>
      </c>
      <c r="C185" s="104" t="s">
        <v>183</v>
      </c>
      <c r="D185" s="104">
        <v>0.32</v>
      </c>
      <c r="E185" s="107">
        <f t="shared" si="2"/>
        <v>0.1024</v>
      </c>
      <c r="F185" s="104">
        <v>6.8564619845945867</v>
      </c>
    </row>
    <row r="186" spans="2:6" x14ac:dyDescent="0.3">
      <c r="B186" s="104" t="s">
        <v>50</v>
      </c>
      <c r="C186" s="104" t="s">
        <v>184</v>
      </c>
      <c r="D186" s="104">
        <v>0.3</v>
      </c>
      <c r="E186" s="107">
        <f t="shared" si="2"/>
        <v>0.09</v>
      </c>
      <c r="F186" s="104">
        <v>7.9373746961632952</v>
      </c>
    </row>
    <row r="187" spans="2:6" x14ac:dyDescent="0.3">
      <c r="B187" s="104" t="s">
        <v>50</v>
      </c>
      <c r="C187" s="104" t="s">
        <v>185</v>
      </c>
      <c r="D187" s="104">
        <v>0.28000000000000003</v>
      </c>
      <c r="E187" s="107">
        <f t="shared" si="2"/>
        <v>7.8400000000000011E-2</v>
      </c>
      <c r="F187" s="104">
        <v>7.4955419438842563</v>
      </c>
    </row>
    <row r="188" spans="2:6" x14ac:dyDescent="0.3">
      <c r="B188" s="104" t="s">
        <v>50</v>
      </c>
      <c r="C188" s="104" t="s">
        <v>186</v>
      </c>
      <c r="D188" s="104">
        <v>0.26</v>
      </c>
      <c r="E188" s="107">
        <f t="shared" si="2"/>
        <v>6.7600000000000007E-2</v>
      </c>
      <c r="F188" s="104">
        <v>7.9373746961632952</v>
      </c>
    </row>
    <row r="189" spans="2:6" x14ac:dyDescent="0.3">
      <c r="B189" s="104" t="s">
        <v>50</v>
      </c>
      <c r="C189" s="104" t="s">
        <v>14</v>
      </c>
      <c r="D189" s="104">
        <v>0.23</v>
      </c>
      <c r="E189" s="107">
        <f t="shared" si="2"/>
        <v>5.2900000000000003E-2</v>
      </c>
      <c r="F189" s="104">
        <v>8.181720455128108</v>
      </c>
    </row>
    <row r="190" spans="2:6" x14ac:dyDescent="0.3">
      <c r="B190" s="104" t="s">
        <v>50</v>
      </c>
      <c r="C190" s="104" t="s">
        <v>64</v>
      </c>
      <c r="D190" s="104">
        <v>0.28000000000000003</v>
      </c>
      <c r="E190" s="107">
        <f t="shared" si="2"/>
        <v>7.8400000000000011E-2</v>
      </c>
      <c r="F190" s="104">
        <v>8.3628758310318805</v>
      </c>
    </row>
    <row r="191" spans="2:6" x14ac:dyDescent="0.3">
      <c r="B191" s="104" t="s">
        <v>50</v>
      </c>
      <c r="C191" s="104" t="s">
        <v>65</v>
      </c>
      <c r="D191" s="104">
        <v>0.19</v>
      </c>
      <c r="E191" s="107">
        <f t="shared" si="2"/>
        <v>3.61E-2</v>
      </c>
      <c r="F191" s="104">
        <v>8.9820586428058498</v>
      </c>
    </row>
    <row r="192" spans="2:6" x14ac:dyDescent="0.3">
      <c r="B192" s="104" t="s">
        <v>50</v>
      </c>
      <c r="C192" s="104" t="s">
        <v>66</v>
      </c>
      <c r="D192" s="104">
        <v>0.37</v>
      </c>
      <c r="E192" s="107">
        <f t="shared" si="2"/>
        <v>0.13689999999999999</v>
      </c>
      <c r="F192" s="104">
        <v>8.66561319653451</v>
      </c>
    </row>
    <row r="193" spans="2:6" x14ac:dyDescent="0.3">
      <c r="B193" s="104" t="s">
        <v>52</v>
      </c>
      <c r="C193" s="104" t="s">
        <v>181</v>
      </c>
      <c r="D193" s="104">
        <v>0.38</v>
      </c>
      <c r="E193" s="107">
        <f t="shared" si="2"/>
        <v>0.1444</v>
      </c>
      <c r="F193" s="104">
        <v>7.5229409180723703</v>
      </c>
    </row>
    <row r="194" spans="2:6" x14ac:dyDescent="0.3">
      <c r="B194" s="104" t="s">
        <v>52</v>
      </c>
      <c r="C194" s="104" t="s">
        <v>182</v>
      </c>
      <c r="D194" s="104">
        <v>0.36</v>
      </c>
      <c r="E194" s="107">
        <f t="shared" si="2"/>
        <v>0.12959999999999999</v>
      </c>
      <c r="F194" s="104">
        <v>7.696212639346407</v>
      </c>
    </row>
    <row r="195" spans="2:6" x14ac:dyDescent="0.3">
      <c r="B195" s="104" t="s">
        <v>52</v>
      </c>
      <c r="C195" s="104" t="s">
        <v>183</v>
      </c>
      <c r="D195" s="104">
        <v>0.34</v>
      </c>
      <c r="E195" s="107">
        <f t="shared" si="2"/>
        <v>0.11560000000000002</v>
      </c>
      <c r="F195" s="104">
        <v>8.1605182474775049</v>
      </c>
    </row>
    <row r="196" spans="2:6" x14ac:dyDescent="0.3">
      <c r="B196" s="104" t="s">
        <v>52</v>
      </c>
      <c r="C196" s="104" t="s">
        <v>184</v>
      </c>
      <c r="D196" s="104">
        <v>0.36</v>
      </c>
      <c r="E196" s="107">
        <f t="shared" ref="E196:E252" si="3">D196^2</f>
        <v>0.12959999999999999</v>
      </c>
      <c r="F196" s="104">
        <v>7.9373746961632952</v>
      </c>
    </row>
    <row r="197" spans="2:6" x14ac:dyDescent="0.3">
      <c r="B197" s="104" t="s">
        <v>52</v>
      </c>
      <c r="C197" s="104" t="s">
        <v>185</v>
      </c>
      <c r="D197" s="104">
        <v>0.4</v>
      </c>
      <c r="E197" s="107">
        <f t="shared" si="3"/>
        <v>0.16000000000000003</v>
      </c>
      <c r="F197" s="104">
        <v>7.3777589082278725</v>
      </c>
    </row>
    <row r="198" spans="2:6" x14ac:dyDescent="0.3">
      <c r="B198" s="104" t="s">
        <v>52</v>
      </c>
      <c r="C198" s="104" t="s">
        <v>186</v>
      </c>
      <c r="D198" s="104">
        <v>0.38</v>
      </c>
      <c r="E198" s="107">
        <f t="shared" si="3"/>
        <v>0.1444</v>
      </c>
      <c r="F198" s="104">
        <v>7.4955419438842563</v>
      </c>
    </row>
    <row r="199" spans="2:6" x14ac:dyDescent="0.3">
      <c r="B199" s="104" t="s">
        <v>52</v>
      </c>
      <c r="C199" s="104" t="s">
        <v>14</v>
      </c>
      <c r="D199" s="104">
        <v>0.28000000000000003</v>
      </c>
      <c r="E199" s="107">
        <f t="shared" si="3"/>
        <v>7.8400000000000011E-2</v>
      </c>
      <c r="F199" s="104">
        <v>7.7621706071382048</v>
      </c>
    </row>
    <row r="200" spans="2:6" x14ac:dyDescent="0.3">
      <c r="B200" s="104" t="s">
        <v>52</v>
      </c>
      <c r="C200" s="104" t="s">
        <v>64</v>
      </c>
      <c r="D200" s="104">
        <v>0.14000000000000001</v>
      </c>
      <c r="E200" s="107">
        <f t="shared" si="3"/>
        <v>1.9600000000000003E-2</v>
      </c>
      <c r="F200" s="104">
        <v>8.1173124616019745</v>
      </c>
    </row>
    <row r="201" spans="2:6" x14ac:dyDescent="0.3">
      <c r="B201" s="104" t="s">
        <v>52</v>
      </c>
      <c r="C201" s="104" t="s">
        <v>65</v>
      </c>
      <c r="D201" s="104">
        <v>0.15</v>
      </c>
      <c r="E201" s="107">
        <f t="shared" si="3"/>
        <v>2.2499999999999999E-2</v>
      </c>
      <c r="F201" s="104">
        <v>8.4246392098056297</v>
      </c>
    </row>
    <row r="202" spans="2:6" x14ac:dyDescent="0.3">
      <c r="B202" s="104" t="s">
        <v>52</v>
      </c>
      <c r="C202" s="104" t="s">
        <v>66</v>
      </c>
      <c r="D202" s="104">
        <v>0.17</v>
      </c>
      <c r="E202" s="107">
        <f t="shared" si="3"/>
        <v>2.8900000000000006E-2</v>
      </c>
      <c r="F202" s="104">
        <v>8.2940496401020276</v>
      </c>
    </row>
    <row r="203" spans="2:6" x14ac:dyDescent="0.3">
      <c r="B203" s="104" t="s">
        <v>54</v>
      </c>
      <c r="C203" s="104" t="s">
        <v>181</v>
      </c>
      <c r="D203" s="104">
        <v>0.38</v>
      </c>
      <c r="E203" s="107">
        <f t="shared" si="3"/>
        <v>0.1444</v>
      </c>
      <c r="F203" s="104">
        <v>11.759785542901755</v>
      </c>
    </row>
    <row r="204" spans="2:6" x14ac:dyDescent="0.3">
      <c r="B204" s="104" t="s">
        <v>54</v>
      </c>
      <c r="C204" s="104" t="s">
        <v>182</v>
      </c>
      <c r="D204" s="104">
        <v>0.36</v>
      </c>
      <c r="E204" s="107">
        <f t="shared" si="3"/>
        <v>0.12959999999999999</v>
      </c>
      <c r="F204" s="104">
        <v>11.849397701591441</v>
      </c>
    </row>
    <row r="205" spans="2:6" x14ac:dyDescent="0.3">
      <c r="B205" s="104" t="s">
        <v>54</v>
      </c>
      <c r="C205" s="104" t="s">
        <v>183</v>
      </c>
      <c r="D205" s="104">
        <v>0.35</v>
      </c>
      <c r="E205" s="107">
        <f t="shared" si="3"/>
        <v>0.12249999999999998</v>
      </c>
      <c r="F205" s="104">
        <v>12.072541252905651</v>
      </c>
    </row>
    <row r="206" spans="2:6" x14ac:dyDescent="0.3">
      <c r="B206" s="104" t="s">
        <v>54</v>
      </c>
      <c r="C206" s="104" t="s">
        <v>184</v>
      </c>
      <c r="D206" s="104">
        <v>0.34</v>
      </c>
      <c r="E206" s="107">
        <f t="shared" si="3"/>
        <v>0.11560000000000002</v>
      </c>
      <c r="F206" s="104">
        <v>12.128111104060462</v>
      </c>
    </row>
    <row r="207" spans="2:6" x14ac:dyDescent="0.3">
      <c r="B207" s="104" t="s">
        <v>54</v>
      </c>
      <c r="C207" s="104" t="s">
        <v>185</v>
      </c>
      <c r="D207" s="104">
        <v>0.35</v>
      </c>
      <c r="E207" s="107">
        <f t="shared" si="3"/>
        <v>0.12249999999999998</v>
      </c>
      <c r="F207" s="104">
        <v>11.884489021402711</v>
      </c>
    </row>
    <row r="208" spans="2:6" x14ac:dyDescent="0.3">
      <c r="B208" s="104" t="s">
        <v>54</v>
      </c>
      <c r="C208" s="104" t="s">
        <v>186</v>
      </c>
      <c r="D208" s="104">
        <v>0.33</v>
      </c>
      <c r="E208" s="107">
        <f t="shared" si="3"/>
        <v>0.10890000000000001</v>
      </c>
      <c r="F208" s="104">
        <v>12.144197241812087</v>
      </c>
    </row>
    <row r="209" spans="2:6" x14ac:dyDescent="0.3">
      <c r="B209" s="104" t="s">
        <v>54</v>
      </c>
      <c r="C209" s="104" t="s">
        <v>14</v>
      </c>
      <c r="D209" s="104">
        <v>0.3</v>
      </c>
      <c r="E209" s="107">
        <f t="shared" si="3"/>
        <v>0.09</v>
      </c>
      <c r="F209" s="104">
        <v>12.588269126698984</v>
      </c>
    </row>
    <row r="210" spans="2:6" x14ac:dyDescent="0.3">
      <c r="B210" s="104" t="s">
        <v>54</v>
      </c>
      <c r="C210" s="104" t="s">
        <v>64</v>
      </c>
      <c r="D210" s="104">
        <v>0.25</v>
      </c>
      <c r="E210" s="107">
        <f t="shared" si="3"/>
        <v>6.25E-2</v>
      </c>
      <c r="F210" s="104">
        <v>13.092110334233308</v>
      </c>
    </row>
    <row r="211" spans="2:6" x14ac:dyDescent="0.3">
      <c r="B211" s="104" t="s">
        <v>54</v>
      </c>
      <c r="C211" s="104" t="s">
        <v>65</v>
      </c>
      <c r="D211" s="104">
        <v>0.35</v>
      </c>
      <c r="E211" s="107">
        <f t="shared" si="3"/>
        <v>0.12249999999999998</v>
      </c>
      <c r="F211" s="104">
        <v>13.119158246455381</v>
      </c>
    </row>
    <row r="212" spans="2:6" x14ac:dyDescent="0.3">
      <c r="B212" s="104" t="s">
        <v>54</v>
      </c>
      <c r="C212" s="104" t="s">
        <v>66</v>
      </c>
      <c r="D212" s="104">
        <v>0.31</v>
      </c>
      <c r="E212" s="107">
        <f t="shared" si="3"/>
        <v>9.6100000000000005E-2</v>
      </c>
      <c r="F212" s="104">
        <v>13.229062996063385</v>
      </c>
    </row>
    <row r="213" spans="2:6" x14ac:dyDescent="0.3">
      <c r="B213" s="104" t="s">
        <v>56</v>
      </c>
      <c r="C213" s="104" t="s">
        <v>181</v>
      </c>
      <c r="D213" s="104">
        <v>3.85</v>
      </c>
      <c r="E213" s="107">
        <f t="shared" si="3"/>
        <v>14.822500000000002</v>
      </c>
      <c r="F213" s="104">
        <v>7.3132203870903014</v>
      </c>
    </row>
    <row r="214" spans="2:6" x14ac:dyDescent="0.3">
      <c r="B214" s="104" t="s">
        <v>56</v>
      </c>
      <c r="C214" s="104" t="s">
        <v>182</v>
      </c>
      <c r="D214" s="104">
        <v>3.92</v>
      </c>
      <c r="E214" s="107">
        <f t="shared" si="3"/>
        <v>15.366399999999999</v>
      </c>
      <c r="F214" s="104">
        <v>7.696212639346407</v>
      </c>
    </row>
    <row r="215" spans="2:6" x14ac:dyDescent="0.3">
      <c r="B215" s="104" t="s">
        <v>56</v>
      </c>
      <c r="C215" s="104" t="s">
        <v>183</v>
      </c>
      <c r="D215" s="104">
        <v>4.12</v>
      </c>
      <c r="E215" s="107">
        <f t="shared" si="3"/>
        <v>16.974399999999999</v>
      </c>
      <c r="F215" s="104">
        <v>9.0478214424784085</v>
      </c>
    </row>
    <row r="216" spans="2:6" x14ac:dyDescent="0.3">
      <c r="B216" s="104" t="s">
        <v>56</v>
      </c>
      <c r="C216" s="104" t="s">
        <v>184</v>
      </c>
      <c r="D216" s="104">
        <v>4.28</v>
      </c>
      <c r="E216" s="107">
        <f t="shared" si="3"/>
        <v>18.3184</v>
      </c>
      <c r="F216" s="104">
        <v>10.239959789157341</v>
      </c>
    </row>
    <row r="217" spans="2:6" x14ac:dyDescent="0.3">
      <c r="B217" s="104" t="s">
        <v>56</v>
      </c>
      <c r="C217" s="104" t="s">
        <v>185</v>
      </c>
      <c r="D217" s="104">
        <v>4.45</v>
      </c>
      <c r="E217" s="107">
        <f t="shared" si="3"/>
        <v>19.802500000000002</v>
      </c>
      <c r="F217" s="104">
        <v>10.819778284410283</v>
      </c>
    </row>
    <row r="218" spans="2:6" x14ac:dyDescent="0.3">
      <c r="B218" s="104" t="s">
        <v>56</v>
      </c>
      <c r="C218" s="104" t="s">
        <v>186</v>
      </c>
      <c r="D218" s="104">
        <v>4.58</v>
      </c>
      <c r="E218" s="107">
        <f t="shared" si="3"/>
        <v>20.976400000000002</v>
      </c>
      <c r="F218" s="104">
        <v>11.951180395901384</v>
      </c>
    </row>
    <row r="219" spans="2:6" x14ac:dyDescent="0.3">
      <c r="B219" s="104" t="s">
        <v>56</v>
      </c>
      <c r="C219" s="104" t="s">
        <v>14</v>
      </c>
      <c r="D219" s="104">
        <v>4.66</v>
      </c>
      <c r="E219" s="107">
        <f t="shared" si="3"/>
        <v>21.715600000000002</v>
      </c>
      <c r="F219" s="104">
        <v>12.631340380934517</v>
      </c>
    </row>
    <row r="220" spans="2:6" x14ac:dyDescent="0.3">
      <c r="B220" s="104" t="s">
        <v>56</v>
      </c>
      <c r="C220" s="104" t="s">
        <v>64</v>
      </c>
      <c r="D220" s="104">
        <v>4.72</v>
      </c>
      <c r="E220" s="107">
        <f t="shared" si="3"/>
        <v>22.278399999999998</v>
      </c>
      <c r="F220" s="104">
        <v>12.441934969252157</v>
      </c>
    </row>
    <row r="221" spans="2:6" x14ac:dyDescent="0.3">
      <c r="B221" s="104" t="s">
        <v>56</v>
      </c>
      <c r="C221" s="104" t="s">
        <v>65</v>
      </c>
      <c r="D221" s="104">
        <v>4.8</v>
      </c>
      <c r="E221" s="107">
        <f t="shared" si="3"/>
        <v>23.04</v>
      </c>
      <c r="F221" s="104">
        <v>12.029931947811301</v>
      </c>
    </row>
    <row r="222" spans="2:6" x14ac:dyDescent="0.3">
      <c r="B222" s="104" t="s">
        <v>56</v>
      </c>
      <c r="C222" s="104" t="s">
        <v>66</v>
      </c>
      <c r="D222" s="104">
        <v>4.8499999999999996</v>
      </c>
      <c r="E222" s="107">
        <f t="shared" si="3"/>
        <v>23.522499999999997</v>
      </c>
      <c r="F222" s="104">
        <v>12.029335467030119</v>
      </c>
    </row>
    <row r="223" spans="2:6" x14ac:dyDescent="0.3">
      <c r="B223" s="104" t="s">
        <v>58</v>
      </c>
      <c r="C223" s="104" t="s">
        <v>181</v>
      </c>
      <c r="D223" s="104">
        <v>0</v>
      </c>
      <c r="E223" s="107">
        <f t="shared" si="3"/>
        <v>0</v>
      </c>
      <c r="F223" s="104">
        <v>8.0709060887878188</v>
      </c>
    </row>
    <row r="224" spans="2:6" x14ac:dyDescent="0.3">
      <c r="B224" s="104" t="s">
        <v>58</v>
      </c>
      <c r="C224" s="104" t="s">
        <v>182</v>
      </c>
      <c r="D224" s="104">
        <v>0</v>
      </c>
      <c r="E224" s="107">
        <f t="shared" si="3"/>
        <v>0</v>
      </c>
      <c r="F224" s="104">
        <v>8.2427563457144775</v>
      </c>
    </row>
    <row r="225" spans="2:6" x14ac:dyDescent="0.3">
      <c r="B225" s="104" t="s">
        <v>58</v>
      </c>
      <c r="C225" s="104" t="s">
        <v>183</v>
      </c>
      <c r="D225" s="104">
        <v>0</v>
      </c>
      <c r="E225" s="107">
        <f t="shared" si="3"/>
        <v>0</v>
      </c>
      <c r="F225" s="104">
        <v>8.3428398042714598</v>
      </c>
    </row>
    <row r="226" spans="2:6" x14ac:dyDescent="0.3">
      <c r="B226" s="104" t="s">
        <v>58</v>
      </c>
      <c r="C226" s="104" t="s">
        <v>184</v>
      </c>
      <c r="D226" s="104">
        <v>0</v>
      </c>
      <c r="E226" s="107">
        <f t="shared" si="3"/>
        <v>0</v>
      </c>
      <c r="F226" s="104">
        <v>8.4118326757584114</v>
      </c>
    </row>
    <row r="227" spans="2:6" x14ac:dyDescent="0.3">
      <c r="B227" s="104" t="s">
        <v>58</v>
      </c>
      <c r="C227" s="104" t="s">
        <v>185</v>
      </c>
      <c r="D227" s="104">
        <v>0</v>
      </c>
      <c r="E227" s="107">
        <f t="shared" si="3"/>
        <v>0</v>
      </c>
      <c r="F227" s="104">
        <v>8.0709060887878188</v>
      </c>
    </row>
    <row r="228" spans="2:6" x14ac:dyDescent="0.3">
      <c r="B228" s="104" t="s">
        <v>58</v>
      </c>
      <c r="C228" s="104" t="s">
        <v>186</v>
      </c>
      <c r="D228" s="104">
        <v>0</v>
      </c>
      <c r="E228" s="107">
        <f t="shared" si="3"/>
        <v>0</v>
      </c>
      <c r="F228" s="104">
        <v>8.2427563457144775</v>
      </c>
    </row>
    <row r="229" spans="2:6" x14ac:dyDescent="0.3">
      <c r="B229" s="104" t="s">
        <v>58</v>
      </c>
      <c r="C229" s="104" t="s">
        <v>14</v>
      </c>
      <c r="D229" s="104">
        <v>0</v>
      </c>
      <c r="E229" s="107">
        <f t="shared" si="3"/>
        <v>0</v>
      </c>
      <c r="F229" s="104">
        <v>8.2426310747104985</v>
      </c>
    </row>
    <row r="230" spans="2:6" x14ac:dyDescent="0.3">
      <c r="B230" s="104" t="s">
        <v>58</v>
      </c>
      <c r="C230" s="104" t="s">
        <v>64</v>
      </c>
      <c r="D230" s="104">
        <v>0</v>
      </c>
      <c r="E230" s="107">
        <f t="shared" si="3"/>
        <v>0</v>
      </c>
      <c r="F230" s="104">
        <v>8.6357213716056869</v>
      </c>
    </row>
    <row r="231" spans="2:6" x14ac:dyDescent="0.3">
      <c r="B231" s="104" t="s">
        <v>58</v>
      </c>
      <c r="C231" s="104" t="s">
        <v>65</v>
      </c>
      <c r="D231" s="104">
        <v>0</v>
      </c>
      <c r="E231" s="107">
        <f t="shared" si="3"/>
        <v>0</v>
      </c>
      <c r="F231" s="104">
        <v>9.2488974034029994</v>
      </c>
    </row>
    <row r="232" spans="2:6" x14ac:dyDescent="0.3">
      <c r="B232" s="104" t="s">
        <v>58</v>
      </c>
      <c r="C232" s="104" t="s">
        <v>66</v>
      </c>
      <c r="D232" s="104">
        <v>0</v>
      </c>
      <c r="E232" s="107">
        <f t="shared" si="3"/>
        <v>0</v>
      </c>
      <c r="F232" s="104">
        <v>8.8061650217725962</v>
      </c>
    </row>
    <row r="233" spans="2:6" x14ac:dyDescent="0.3">
      <c r="B233" s="104" t="s">
        <v>60</v>
      </c>
      <c r="C233" s="104" t="s">
        <v>181</v>
      </c>
      <c r="D233" s="104">
        <v>0.52</v>
      </c>
      <c r="E233" s="107">
        <f t="shared" si="3"/>
        <v>0.27040000000000003</v>
      </c>
      <c r="F233" s="104">
        <v>7.9373746961632952</v>
      </c>
    </row>
    <row r="234" spans="2:6" x14ac:dyDescent="0.3">
      <c r="B234" s="104" t="s">
        <v>60</v>
      </c>
      <c r="C234" s="104" t="s">
        <v>182</v>
      </c>
      <c r="D234" s="104">
        <v>0.48</v>
      </c>
      <c r="E234" s="107">
        <f t="shared" si="3"/>
        <v>0.23039999999999999</v>
      </c>
      <c r="F234" s="104">
        <v>8.5564139045695189</v>
      </c>
    </row>
    <row r="235" spans="2:6" x14ac:dyDescent="0.3">
      <c r="B235" s="104" t="s">
        <v>60</v>
      </c>
      <c r="C235" s="104" t="s">
        <v>183</v>
      </c>
      <c r="D235" s="104">
        <v>0.45</v>
      </c>
      <c r="E235" s="107">
        <f t="shared" si="3"/>
        <v>0.20250000000000001</v>
      </c>
      <c r="F235" s="104">
        <v>9.3926619287701367</v>
      </c>
    </row>
    <row r="236" spans="2:6" x14ac:dyDescent="0.3">
      <c r="B236" s="104" t="s">
        <v>60</v>
      </c>
      <c r="C236" s="104" t="s">
        <v>184</v>
      </c>
      <c r="D236" s="104">
        <v>0.42</v>
      </c>
      <c r="E236" s="107">
        <f t="shared" si="3"/>
        <v>0.17639999999999997</v>
      </c>
      <c r="F236" s="104">
        <v>10.645424897265505</v>
      </c>
    </row>
    <row r="237" spans="2:6" x14ac:dyDescent="0.3">
      <c r="B237" s="104" t="s">
        <v>60</v>
      </c>
      <c r="C237" s="104" t="s">
        <v>185</v>
      </c>
      <c r="D237" s="104">
        <v>0.42</v>
      </c>
      <c r="E237" s="107">
        <f t="shared" si="3"/>
        <v>0.17639999999999997</v>
      </c>
      <c r="F237" s="104">
        <v>10.714417768752456</v>
      </c>
    </row>
    <row r="238" spans="2:6" x14ac:dyDescent="0.3">
      <c r="B238" s="104" t="s">
        <v>60</v>
      </c>
      <c r="C238" s="104" t="s">
        <v>186</v>
      </c>
      <c r="D238" s="104">
        <v>0.41</v>
      </c>
      <c r="E238" s="107">
        <f t="shared" si="3"/>
        <v>0.16809999999999997</v>
      </c>
      <c r="F238" s="104">
        <v>11.492722757652709</v>
      </c>
    </row>
    <row r="239" spans="2:6" x14ac:dyDescent="0.3">
      <c r="B239" s="104" t="s">
        <v>60</v>
      </c>
      <c r="C239" s="104" t="s">
        <v>14</v>
      </c>
      <c r="D239" s="104">
        <v>0.41</v>
      </c>
      <c r="E239" s="107">
        <f t="shared" si="3"/>
        <v>0.16809999999999997</v>
      </c>
      <c r="F239" s="104">
        <v>12.418539483038984</v>
      </c>
    </row>
    <row r="240" spans="2:6" x14ac:dyDescent="0.3">
      <c r="B240" s="104" t="s">
        <v>60</v>
      </c>
      <c r="C240" s="104" t="s">
        <v>64</v>
      </c>
      <c r="D240" s="104">
        <v>0.47</v>
      </c>
      <c r="E240" s="107">
        <f t="shared" si="3"/>
        <v>0.22089999999999999</v>
      </c>
      <c r="F240" s="104">
        <v>11.466202185821563</v>
      </c>
    </row>
    <row r="241" spans="2:6" x14ac:dyDescent="0.3">
      <c r="B241" s="104" t="s">
        <v>60</v>
      </c>
      <c r="C241" s="104" t="s">
        <v>65</v>
      </c>
      <c r="D241" s="104">
        <v>0.41</v>
      </c>
      <c r="E241" s="107">
        <f t="shared" si="3"/>
        <v>0.16809999999999997</v>
      </c>
      <c r="F241" s="104">
        <v>11.533330263865869</v>
      </c>
    </row>
    <row r="242" spans="2:6" x14ac:dyDescent="0.3">
      <c r="B242" s="104" t="s">
        <v>60</v>
      </c>
      <c r="C242" s="104" t="s">
        <v>66</v>
      </c>
      <c r="D242" s="104">
        <v>0.42</v>
      </c>
      <c r="E242" s="107">
        <f t="shared" si="3"/>
        <v>0.17639999999999997</v>
      </c>
      <c r="F242" s="104">
        <v>11.10055597638849</v>
      </c>
    </row>
    <row r="243" spans="2:6" x14ac:dyDescent="0.3">
      <c r="B243" s="104" t="s">
        <v>62</v>
      </c>
      <c r="C243" s="104" t="s">
        <v>181</v>
      </c>
      <c r="D243" s="104">
        <v>0</v>
      </c>
      <c r="E243" s="107">
        <f t="shared" si="3"/>
        <v>0</v>
      </c>
      <c r="F243" s="104">
        <v>10.46310334047155</v>
      </c>
    </row>
    <row r="244" spans="2:6" x14ac:dyDescent="0.3">
      <c r="B244" s="104" t="s">
        <v>62</v>
      </c>
      <c r="C244" s="104" t="s">
        <v>182</v>
      </c>
      <c r="D244" s="104">
        <v>0</v>
      </c>
      <c r="E244" s="107">
        <f t="shared" si="3"/>
        <v>0</v>
      </c>
      <c r="F244" s="104">
        <v>10.545341438708522</v>
      </c>
    </row>
    <row r="245" spans="2:6" x14ac:dyDescent="0.3">
      <c r="B245" s="104" t="s">
        <v>62</v>
      </c>
      <c r="C245" s="104" t="s">
        <v>183</v>
      </c>
      <c r="D245" s="104">
        <v>0</v>
      </c>
      <c r="E245" s="107">
        <f t="shared" si="3"/>
        <v>0</v>
      </c>
      <c r="F245" s="104">
        <v>10.645424897265505</v>
      </c>
    </row>
    <row r="246" spans="2:6" x14ac:dyDescent="0.3">
      <c r="B246" s="104" t="s">
        <v>62</v>
      </c>
      <c r="C246" s="104" t="s">
        <v>184</v>
      </c>
      <c r="D246" s="104">
        <v>0</v>
      </c>
      <c r="E246" s="107">
        <f t="shared" si="3"/>
        <v>0</v>
      </c>
      <c r="F246" s="104">
        <v>10.778956289890028</v>
      </c>
    </row>
    <row r="247" spans="2:6" x14ac:dyDescent="0.3">
      <c r="B247" s="104" t="s">
        <v>62</v>
      </c>
      <c r="C247" s="104" t="s">
        <v>185</v>
      </c>
      <c r="D247" s="104">
        <v>0.42</v>
      </c>
      <c r="E247" s="107">
        <f t="shared" si="3"/>
        <v>0.17639999999999997</v>
      </c>
      <c r="F247" s="104">
        <v>10.545341438708522</v>
      </c>
    </row>
    <row r="248" spans="2:6" x14ac:dyDescent="0.3">
      <c r="B248" s="104" t="s">
        <v>62</v>
      </c>
      <c r="C248" s="104" t="s">
        <v>186</v>
      </c>
      <c r="D248" s="104">
        <v>0.85</v>
      </c>
      <c r="E248" s="107">
        <f t="shared" si="3"/>
        <v>0.72249999999999992</v>
      </c>
      <c r="F248" s="104">
        <v>10.645424897265505</v>
      </c>
    </row>
    <row r="249" spans="2:6" x14ac:dyDescent="0.3">
      <c r="B249" s="104" t="s">
        <v>62</v>
      </c>
      <c r="C249" s="104" t="s">
        <v>14</v>
      </c>
      <c r="D249" s="104">
        <v>1.1399999999999999</v>
      </c>
      <c r="E249" s="107">
        <f t="shared" si="3"/>
        <v>1.2995999999999999</v>
      </c>
      <c r="F249" s="104">
        <v>10.998760939938723</v>
      </c>
    </row>
    <row r="250" spans="2:6" x14ac:dyDescent="0.3">
      <c r="B250" s="104" t="s">
        <v>62</v>
      </c>
      <c r="C250" s="104" t="s">
        <v>64</v>
      </c>
      <c r="D250" s="104">
        <v>0.22</v>
      </c>
      <c r="E250" s="107">
        <f t="shared" si="3"/>
        <v>4.8399999999999999E-2</v>
      </c>
      <c r="F250" s="104">
        <v>10.558413520275876</v>
      </c>
    </row>
    <row r="251" spans="2:6" x14ac:dyDescent="0.3">
      <c r="B251" s="104" t="s">
        <v>62</v>
      </c>
      <c r="C251" s="104" t="s">
        <v>65</v>
      </c>
      <c r="D251" s="104">
        <v>0.16</v>
      </c>
      <c r="E251" s="107">
        <f t="shared" si="3"/>
        <v>2.5600000000000001E-2</v>
      </c>
      <c r="F251" s="104">
        <v>11.270853903770499</v>
      </c>
    </row>
    <row r="252" spans="2:6" x14ac:dyDescent="0.3">
      <c r="B252" s="104" t="s">
        <v>62</v>
      </c>
      <c r="C252" s="104" t="s">
        <v>66</v>
      </c>
      <c r="D252" s="104">
        <v>7.0000000000000007E-2</v>
      </c>
      <c r="E252" s="107">
        <f t="shared" si="3"/>
        <v>4.9000000000000007E-3</v>
      </c>
      <c r="F252" s="104">
        <v>11.468973577441046</v>
      </c>
    </row>
    <row r="255" spans="2:6" x14ac:dyDescent="0.3">
      <c r="B255" t="s">
        <v>89</v>
      </c>
    </row>
    <row r="256" spans="2:6" ht="15" thickBot="1" x14ac:dyDescent="0.35"/>
    <row r="257" spans="2:10" x14ac:dyDescent="0.3">
      <c r="B257" s="69" t="s">
        <v>90</v>
      </c>
      <c r="C257" s="69"/>
    </row>
    <row r="258" spans="2:10" x14ac:dyDescent="0.3">
      <c r="B258" t="s">
        <v>91</v>
      </c>
      <c r="C258">
        <v>0.26817673257715291</v>
      </c>
    </row>
    <row r="259" spans="2:10" x14ac:dyDescent="0.3">
      <c r="B259" t="s">
        <v>92</v>
      </c>
      <c r="C259" s="19">
        <v>7.19187598957578E-2</v>
      </c>
    </row>
    <row r="260" spans="2:10" x14ac:dyDescent="0.3">
      <c r="B260" t="s">
        <v>93</v>
      </c>
      <c r="C260" s="19">
        <v>6.440393204066272E-2</v>
      </c>
    </row>
    <row r="261" spans="2:10" x14ac:dyDescent="0.3">
      <c r="B261" t="s">
        <v>76</v>
      </c>
      <c r="C261">
        <v>1.649937553600421</v>
      </c>
    </row>
    <row r="262" spans="2:10" ht="15" thickBot="1" x14ac:dyDescent="0.35">
      <c r="B262" s="67" t="s">
        <v>94</v>
      </c>
      <c r="C262" s="67">
        <v>250</v>
      </c>
    </row>
    <row r="264" spans="2:10" ht="15" thickBot="1" x14ac:dyDescent="0.35">
      <c r="B264" t="s">
        <v>95</v>
      </c>
    </row>
    <row r="265" spans="2:10" x14ac:dyDescent="0.3">
      <c r="B265" s="68"/>
      <c r="C265" s="68" t="s">
        <v>100</v>
      </c>
      <c r="D265" s="68" t="s">
        <v>101</v>
      </c>
      <c r="E265" s="68" t="s">
        <v>102</v>
      </c>
      <c r="F265" s="68" t="s">
        <v>103</v>
      </c>
      <c r="G265" s="68" t="s">
        <v>104</v>
      </c>
    </row>
    <row r="266" spans="2:10" x14ac:dyDescent="0.3">
      <c r="B266" t="s">
        <v>96</v>
      </c>
      <c r="C266">
        <v>2</v>
      </c>
      <c r="D266">
        <v>52.106051488796538</v>
      </c>
      <c r="E266">
        <v>26.053025744398269</v>
      </c>
      <c r="F266">
        <v>9.570247154363841</v>
      </c>
      <c r="G266" s="70">
        <v>9.9281943504947456E-5</v>
      </c>
    </row>
    <row r="267" spans="2:10" x14ac:dyDescent="0.3">
      <c r="B267" t="s">
        <v>97</v>
      </c>
      <c r="C267">
        <v>247</v>
      </c>
      <c r="D267">
        <v>672.40660090289282</v>
      </c>
      <c r="E267">
        <v>2.7222939307809426</v>
      </c>
    </row>
    <row r="268" spans="2:10" ht="15" thickBot="1" x14ac:dyDescent="0.35">
      <c r="B268" s="67" t="s">
        <v>98</v>
      </c>
      <c r="C268" s="67">
        <v>249</v>
      </c>
      <c r="D268" s="67">
        <v>724.51265239168936</v>
      </c>
      <c r="E268" s="67"/>
      <c r="F268" s="67"/>
      <c r="G268" s="67"/>
    </row>
    <row r="269" spans="2:10" ht="15" thickBot="1" x14ac:dyDescent="0.35"/>
    <row r="270" spans="2:10" x14ac:dyDescent="0.3">
      <c r="B270" s="68"/>
      <c r="C270" s="68" t="s">
        <v>105</v>
      </c>
      <c r="D270" s="68" t="s">
        <v>76</v>
      </c>
      <c r="E270" s="68" t="s">
        <v>106</v>
      </c>
      <c r="F270" s="68" t="s">
        <v>107</v>
      </c>
      <c r="G270" s="68" t="s">
        <v>108</v>
      </c>
      <c r="H270" s="68" t="s">
        <v>109</v>
      </c>
      <c r="I270" s="68" t="s">
        <v>110</v>
      </c>
      <c r="J270" s="68" t="s">
        <v>111</v>
      </c>
    </row>
    <row r="271" spans="2:10" x14ac:dyDescent="0.3">
      <c r="B271" t="s">
        <v>99</v>
      </c>
      <c r="C271">
        <v>8.8778782697694041</v>
      </c>
      <c r="D271">
        <v>0.17513964656431069</v>
      </c>
      <c r="E271">
        <v>50.690283119359137</v>
      </c>
      <c r="F271" s="19">
        <v>1.5266606151874689E-132</v>
      </c>
      <c r="G271">
        <v>8.532920637678755</v>
      </c>
      <c r="H271">
        <v>9.2228359018600532</v>
      </c>
      <c r="I271">
        <v>8.532920637678755</v>
      </c>
      <c r="J271">
        <v>9.2228359018600532</v>
      </c>
    </row>
    <row r="272" spans="2:10" x14ac:dyDescent="0.3">
      <c r="B272" s="1" t="s">
        <v>125</v>
      </c>
      <c r="C272">
        <v>0.82474487146412701</v>
      </c>
      <c r="D272">
        <v>0.27752797580751876</v>
      </c>
      <c r="E272">
        <v>2.9717539972839866</v>
      </c>
      <c r="F272" s="19">
        <v>3.2534053785066679E-3</v>
      </c>
      <c r="G272">
        <v>0.27812167533749421</v>
      </c>
      <c r="H272">
        <v>1.3713680675907607</v>
      </c>
      <c r="I272">
        <v>0.27812167533749421</v>
      </c>
      <c r="J272">
        <v>1.3713680675907607</v>
      </c>
    </row>
    <row r="273" spans="2:10" ht="15" thickBot="1" x14ac:dyDescent="0.35">
      <c r="B273" s="67" t="s">
        <v>195</v>
      </c>
      <c r="C273" s="67">
        <v>-0.106528790855448</v>
      </c>
      <c r="D273" s="67">
        <v>6.840828571830769E-2</v>
      </c>
      <c r="E273" s="67">
        <v>-1.5572498234221679</v>
      </c>
      <c r="F273" s="20">
        <v>0.12069152731146711</v>
      </c>
      <c r="G273" s="67">
        <v>-0.24126675978301931</v>
      </c>
      <c r="H273" s="67">
        <v>2.8209178072123586E-2</v>
      </c>
      <c r="I273" s="67">
        <v>-0.24126675978301931</v>
      </c>
      <c r="J273" s="67">
        <v>2.8209178072123586E-2</v>
      </c>
    </row>
    <row r="276" spans="2:10" x14ac:dyDescent="0.3">
      <c r="B276" t="s">
        <v>199</v>
      </c>
      <c r="C276" s="18" t="s">
        <v>105</v>
      </c>
      <c r="D276" t="s">
        <v>202</v>
      </c>
      <c r="E276" t="s">
        <v>203</v>
      </c>
    </row>
    <row r="277" spans="2:10" x14ac:dyDescent="0.3">
      <c r="B277" t="s">
        <v>99</v>
      </c>
      <c r="C277" t="s">
        <v>196</v>
      </c>
    </row>
    <row r="278" spans="2:10" x14ac:dyDescent="0.3">
      <c r="B278" t="s">
        <v>125</v>
      </c>
      <c r="C278" t="s">
        <v>197</v>
      </c>
      <c r="D278" t="s">
        <v>200</v>
      </c>
      <c r="E278" t="s">
        <v>204</v>
      </c>
    </row>
    <row r="279" spans="2:10" x14ac:dyDescent="0.3">
      <c r="B279" t="s">
        <v>195</v>
      </c>
      <c r="C279" t="s">
        <v>198</v>
      </c>
      <c r="D279" t="s">
        <v>201</v>
      </c>
      <c r="E279" t="s">
        <v>205</v>
      </c>
    </row>
    <row r="281" spans="2:10" x14ac:dyDescent="0.3">
      <c r="B281" t="s">
        <v>206</v>
      </c>
      <c r="C281">
        <f>-C272/(C273*2)</f>
        <v>3.8709951781169054</v>
      </c>
      <c r="D281" t="s">
        <v>207</v>
      </c>
    </row>
    <row r="287" spans="2:10" x14ac:dyDescent="0.3">
      <c r="B287" s="108" t="s">
        <v>2</v>
      </c>
      <c r="C287" s="108" t="s">
        <v>208</v>
      </c>
      <c r="D287" s="104"/>
      <c r="E287" s="108" t="s">
        <v>206</v>
      </c>
    </row>
    <row r="288" spans="2:10" ht="18" x14ac:dyDescent="0.35">
      <c r="B288" s="105" t="s">
        <v>46</v>
      </c>
      <c r="C288" s="107">
        <v>0.68700000000000006</v>
      </c>
      <c r="D288" s="120" t="str">
        <f>IF(C288&gt;E288,"&gt;","&lt;")</f>
        <v>&lt;</v>
      </c>
      <c r="E288" s="106">
        <f>$C$281</f>
        <v>3.8709951781169054</v>
      </c>
    </row>
    <row r="289" spans="2:5" ht="18" x14ac:dyDescent="0.35">
      <c r="B289" s="105" t="s">
        <v>56</v>
      </c>
      <c r="C289" s="107">
        <v>4.423</v>
      </c>
      <c r="D289" s="121" t="str">
        <f t="shared" ref="D289:D312" si="4">IF(C289&gt;E289,"&gt;","&lt;")</f>
        <v>&gt;</v>
      </c>
      <c r="E289" s="106">
        <f t="shared" ref="E289:E312" si="5">$C$281</f>
        <v>3.8709951781169054</v>
      </c>
    </row>
    <row r="290" spans="2:5" ht="18" x14ac:dyDescent="0.35">
      <c r="B290" s="105" t="s">
        <v>38</v>
      </c>
      <c r="C290" s="107">
        <v>1.573</v>
      </c>
      <c r="D290" s="120" t="str">
        <f t="shared" si="4"/>
        <v>&lt;</v>
      </c>
      <c r="E290" s="106">
        <f t="shared" si="5"/>
        <v>3.8709951781169054</v>
      </c>
    </row>
    <row r="291" spans="2:5" ht="18" x14ac:dyDescent="0.35">
      <c r="B291" s="105" t="s">
        <v>60</v>
      </c>
      <c r="C291" s="107">
        <v>0.441</v>
      </c>
      <c r="D291" s="120" t="str">
        <f t="shared" si="4"/>
        <v>&lt;</v>
      </c>
      <c r="E291" s="106">
        <f t="shared" si="5"/>
        <v>3.8709951781169054</v>
      </c>
    </row>
    <row r="292" spans="2:5" ht="18" x14ac:dyDescent="0.35">
      <c r="B292" s="105" t="s">
        <v>29</v>
      </c>
      <c r="C292" s="107">
        <v>0.60299999999999998</v>
      </c>
      <c r="D292" s="120" t="str">
        <f t="shared" si="4"/>
        <v>&lt;</v>
      </c>
      <c r="E292" s="106">
        <f t="shared" si="5"/>
        <v>3.8709951781169054</v>
      </c>
    </row>
    <row r="293" spans="2:5" ht="18" x14ac:dyDescent="0.35">
      <c r="B293" s="105" t="s">
        <v>31</v>
      </c>
      <c r="C293" s="107">
        <v>1.008</v>
      </c>
      <c r="D293" s="120" t="str">
        <f t="shared" si="4"/>
        <v>&lt;</v>
      </c>
      <c r="E293" s="106">
        <f t="shared" si="5"/>
        <v>3.8709951781169054</v>
      </c>
    </row>
    <row r="294" spans="2:5" ht="18" x14ac:dyDescent="0.35">
      <c r="B294" s="105" t="s">
        <v>58</v>
      </c>
      <c r="C294" s="107">
        <v>0</v>
      </c>
      <c r="D294" s="120" t="str">
        <f t="shared" si="4"/>
        <v>&lt;</v>
      </c>
      <c r="E294" s="106">
        <f t="shared" si="5"/>
        <v>3.8709951781169054</v>
      </c>
    </row>
    <row r="295" spans="2:5" ht="18" x14ac:dyDescent="0.35">
      <c r="B295" s="105" t="s">
        <v>50</v>
      </c>
      <c r="C295" s="107">
        <v>0.29600000000000004</v>
      </c>
      <c r="D295" s="120" t="str">
        <f t="shared" si="4"/>
        <v>&lt;</v>
      </c>
      <c r="E295" s="106">
        <f t="shared" si="5"/>
        <v>3.8709951781169054</v>
      </c>
    </row>
    <row r="296" spans="2:5" ht="18" x14ac:dyDescent="0.35">
      <c r="B296" s="105" t="s">
        <v>62</v>
      </c>
      <c r="C296" s="107">
        <v>0.28600000000000003</v>
      </c>
      <c r="D296" s="120" t="str">
        <f t="shared" si="4"/>
        <v>&lt;</v>
      </c>
      <c r="E296" s="106">
        <f t="shared" si="5"/>
        <v>3.8709951781169054</v>
      </c>
    </row>
    <row r="297" spans="2:5" ht="18" x14ac:dyDescent="0.35">
      <c r="B297" s="105" t="s">
        <v>21</v>
      </c>
      <c r="C297" s="107">
        <v>1.4140000000000001</v>
      </c>
      <c r="D297" s="120" t="str">
        <f t="shared" si="4"/>
        <v>&lt;</v>
      </c>
      <c r="E297" s="106">
        <f t="shared" si="5"/>
        <v>3.8709951781169054</v>
      </c>
    </row>
    <row r="298" spans="2:5" ht="18" x14ac:dyDescent="0.35">
      <c r="B298" s="105" t="s">
        <v>15</v>
      </c>
      <c r="C298" s="107">
        <v>1.0999999999999999E-4</v>
      </c>
      <c r="D298" s="120" t="str">
        <f t="shared" si="4"/>
        <v>&lt;</v>
      </c>
      <c r="E298" s="106">
        <f t="shared" si="5"/>
        <v>3.8709951781169054</v>
      </c>
    </row>
    <row r="299" spans="2:5" ht="18" x14ac:dyDescent="0.35">
      <c r="B299" s="105" t="s">
        <v>42</v>
      </c>
      <c r="C299" s="107">
        <v>2.1160000000000005</v>
      </c>
      <c r="D299" s="121" t="str">
        <f t="shared" si="4"/>
        <v>&lt;</v>
      </c>
      <c r="E299" s="106">
        <f t="shared" si="5"/>
        <v>3.8709951781169054</v>
      </c>
    </row>
    <row r="300" spans="2:5" ht="18" x14ac:dyDescent="0.35">
      <c r="B300" s="105" t="s">
        <v>36</v>
      </c>
      <c r="C300" s="107">
        <v>0.56299999999999994</v>
      </c>
      <c r="D300" s="120" t="str">
        <f t="shared" si="4"/>
        <v>&lt;</v>
      </c>
      <c r="E300" s="106">
        <f t="shared" si="5"/>
        <v>3.8709951781169054</v>
      </c>
    </row>
    <row r="301" spans="2:5" ht="18" x14ac:dyDescent="0.35">
      <c r="B301" s="105" t="s">
        <v>25</v>
      </c>
      <c r="C301" s="107">
        <v>5.6000000000000008E-2</v>
      </c>
      <c r="D301" s="120" t="str">
        <f t="shared" si="4"/>
        <v>&lt;</v>
      </c>
      <c r="E301" s="106">
        <f t="shared" si="5"/>
        <v>3.8709951781169054</v>
      </c>
    </row>
    <row r="302" spans="2:5" ht="18" x14ac:dyDescent="0.35">
      <c r="B302" s="105" t="s">
        <v>54</v>
      </c>
      <c r="C302" s="107">
        <v>0.33199999999999996</v>
      </c>
      <c r="D302" s="120" t="str">
        <f t="shared" si="4"/>
        <v>&lt;</v>
      </c>
      <c r="E302" s="106">
        <f t="shared" si="5"/>
        <v>3.8709951781169054</v>
      </c>
    </row>
    <row r="303" spans="2:5" ht="18" x14ac:dyDescent="0.35">
      <c r="B303" s="105" t="s">
        <v>27</v>
      </c>
      <c r="C303" s="107">
        <v>0</v>
      </c>
      <c r="D303" s="120" t="str">
        <f t="shared" si="4"/>
        <v>&lt;</v>
      </c>
      <c r="E303" s="106">
        <f t="shared" si="5"/>
        <v>3.8709951781169054</v>
      </c>
    </row>
    <row r="304" spans="2:5" ht="18" x14ac:dyDescent="0.35">
      <c r="B304" s="105" t="s">
        <v>32</v>
      </c>
      <c r="C304" s="107">
        <v>0.318</v>
      </c>
      <c r="D304" s="120" t="str">
        <f t="shared" si="4"/>
        <v>&lt;</v>
      </c>
      <c r="E304" s="106">
        <f t="shared" si="5"/>
        <v>3.8709951781169054</v>
      </c>
    </row>
    <row r="305" spans="2:5" ht="18" x14ac:dyDescent="0.35">
      <c r="B305" s="105" t="s">
        <v>18</v>
      </c>
      <c r="C305" s="107">
        <v>1.423</v>
      </c>
      <c r="D305" s="120" t="str">
        <f t="shared" si="4"/>
        <v>&lt;</v>
      </c>
      <c r="E305" s="106">
        <f t="shared" si="5"/>
        <v>3.8709951781169054</v>
      </c>
    </row>
    <row r="306" spans="2:5" ht="18" x14ac:dyDescent="0.35">
      <c r="B306" s="105" t="s">
        <v>48</v>
      </c>
      <c r="C306" s="107">
        <v>0.40100000000000008</v>
      </c>
      <c r="D306" s="120" t="str">
        <f t="shared" si="4"/>
        <v>&lt;</v>
      </c>
      <c r="E306" s="106">
        <f t="shared" si="5"/>
        <v>3.8709951781169054</v>
      </c>
    </row>
    <row r="307" spans="2:5" ht="18" x14ac:dyDescent="0.35">
      <c r="B307" s="105" t="s">
        <v>23</v>
      </c>
      <c r="C307" s="107">
        <v>1.6792226512226514</v>
      </c>
      <c r="D307" s="120" t="str">
        <f t="shared" si="4"/>
        <v>&lt;</v>
      </c>
      <c r="E307" s="106">
        <f t="shared" si="5"/>
        <v>3.8709951781169054</v>
      </c>
    </row>
    <row r="308" spans="2:5" ht="18" x14ac:dyDescent="0.35">
      <c r="B308" s="105" t="s">
        <v>44</v>
      </c>
      <c r="C308" s="107">
        <v>0.67900000000000005</v>
      </c>
      <c r="D308" s="120" t="str">
        <f t="shared" si="4"/>
        <v>&lt;</v>
      </c>
      <c r="E308" s="106">
        <f t="shared" si="5"/>
        <v>3.8709951781169054</v>
      </c>
    </row>
    <row r="309" spans="2:5" ht="18" x14ac:dyDescent="0.35">
      <c r="B309" s="105" t="s">
        <v>19</v>
      </c>
      <c r="C309" s="107">
        <v>2.355</v>
      </c>
      <c r="D309" s="121" t="str">
        <f t="shared" si="4"/>
        <v>&lt;</v>
      </c>
      <c r="E309" s="106">
        <f t="shared" si="5"/>
        <v>3.8709951781169054</v>
      </c>
    </row>
    <row r="310" spans="2:5" ht="18" x14ac:dyDescent="0.35">
      <c r="B310" s="105" t="s">
        <v>40</v>
      </c>
      <c r="C310" s="107">
        <v>0.56000000000000016</v>
      </c>
      <c r="D310" s="120" t="str">
        <f t="shared" si="4"/>
        <v>&lt;</v>
      </c>
      <c r="E310" s="106">
        <f t="shared" si="5"/>
        <v>3.8709951781169054</v>
      </c>
    </row>
    <row r="311" spans="2:5" ht="18" x14ac:dyDescent="0.35">
      <c r="B311" s="105" t="s">
        <v>34</v>
      </c>
      <c r="C311" s="107">
        <v>0.80099999999999993</v>
      </c>
      <c r="D311" s="120" t="str">
        <f t="shared" si="4"/>
        <v>&lt;</v>
      </c>
      <c r="E311" s="106">
        <f t="shared" si="5"/>
        <v>3.8709951781169054</v>
      </c>
    </row>
    <row r="312" spans="2:5" ht="18" x14ac:dyDescent="0.35">
      <c r="B312" s="105" t="s">
        <v>52</v>
      </c>
      <c r="C312" s="107">
        <v>0.29599999999999999</v>
      </c>
      <c r="D312" s="120" t="str">
        <f t="shared" si="4"/>
        <v>&lt;</v>
      </c>
      <c r="E312" s="106">
        <f t="shared" si="5"/>
        <v>3.8709951781169054</v>
      </c>
    </row>
    <row r="315" spans="2:5" ht="15" thickBot="1" x14ac:dyDescent="0.35"/>
    <row r="316" spans="2:5" x14ac:dyDescent="0.3">
      <c r="B316" s="117" t="s">
        <v>210</v>
      </c>
      <c r="C316" s="118" t="s">
        <v>211</v>
      </c>
      <c r="D316" s="118" t="s">
        <v>212</v>
      </c>
      <c r="E316" s="119" t="s">
        <v>213</v>
      </c>
    </row>
    <row r="317" spans="2:5" x14ac:dyDescent="0.3">
      <c r="B317" s="45" t="s">
        <v>209</v>
      </c>
      <c r="C317" s="104">
        <v>9.3610000000000007</v>
      </c>
      <c r="D317" s="104">
        <v>57547</v>
      </c>
      <c r="E317" s="110">
        <v>71</v>
      </c>
    </row>
    <row r="318" spans="2:5" x14ac:dyDescent="0.3">
      <c r="B318" s="45" t="s">
        <v>214</v>
      </c>
      <c r="C318" s="104">
        <v>9.0629000000000008</v>
      </c>
      <c r="D318" s="104">
        <v>28281</v>
      </c>
      <c r="E318" s="110">
        <v>64</v>
      </c>
    </row>
    <row r="319" spans="2:5" x14ac:dyDescent="0.3">
      <c r="B319" s="45" t="s">
        <v>215</v>
      </c>
      <c r="C319" s="104">
        <v>10.5182</v>
      </c>
      <c r="D319" s="104">
        <v>104744</v>
      </c>
      <c r="E319" s="110">
        <v>26</v>
      </c>
    </row>
    <row r="320" spans="2:5" x14ac:dyDescent="0.3">
      <c r="B320" s="45" t="s">
        <v>216</v>
      </c>
      <c r="C320" s="104">
        <v>10.7957</v>
      </c>
      <c r="D320" s="104">
        <v>81176</v>
      </c>
      <c r="E320" s="110">
        <v>24</v>
      </c>
    </row>
    <row r="321" spans="2:5" x14ac:dyDescent="0.3">
      <c r="B321" s="45" t="s">
        <v>217</v>
      </c>
      <c r="C321" s="104">
        <v>7.9760999999999997</v>
      </c>
      <c r="D321" s="104">
        <v>3025</v>
      </c>
      <c r="E321" s="110">
        <v>4</v>
      </c>
    </row>
    <row r="322" spans="2:5" x14ac:dyDescent="0.3">
      <c r="B322" s="45" t="s">
        <v>218</v>
      </c>
      <c r="C322" s="104">
        <v>8.6410999999999998</v>
      </c>
      <c r="D322" s="104">
        <v>13838</v>
      </c>
      <c r="E322" s="110">
        <v>11</v>
      </c>
    </row>
    <row r="323" spans="2:5" ht="15" thickBot="1" x14ac:dyDescent="0.35">
      <c r="B323" s="111" t="s">
        <v>219</v>
      </c>
      <c r="C323" s="112">
        <v>10.620100000000001</v>
      </c>
      <c r="D323" s="112">
        <v>113970</v>
      </c>
      <c r="E323" s="113">
        <v>10</v>
      </c>
    </row>
    <row r="326" spans="2:5" ht="15" thickBot="1" x14ac:dyDescent="0.35"/>
    <row r="327" spans="2:5" ht="15" thickBot="1" x14ac:dyDescent="0.35">
      <c r="B327" s="115" t="s">
        <v>125</v>
      </c>
      <c r="C327" s="116" t="s">
        <v>220</v>
      </c>
    </row>
    <row r="328" spans="2:5" x14ac:dyDescent="0.3">
      <c r="B328" s="88">
        <v>0</v>
      </c>
      <c r="C328" s="114">
        <v>8.8779000000000003</v>
      </c>
    </row>
    <row r="329" spans="2:5" x14ac:dyDescent="0.3">
      <c r="B329" s="10">
        <v>0.25</v>
      </c>
      <c r="C329" s="66">
        <v>9.0774000000000008</v>
      </c>
    </row>
    <row r="330" spans="2:5" x14ac:dyDescent="0.3">
      <c r="B330" s="10">
        <v>0.5</v>
      </c>
      <c r="C330" s="66">
        <v>9.2636000000000003</v>
      </c>
    </row>
    <row r="331" spans="2:5" x14ac:dyDescent="0.3">
      <c r="B331" s="10">
        <v>0.75</v>
      </c>
      <c r="C331" s="66">
        <v>9.4365000000000006</v>
      </c>
    </row>
    <row r="332" spans="2:5" x14ac:dyDescent="0.3">
      <c r="B332" s="10">
        <v>1</v>
      </c>
      <c r="C332" s="66">
        <v>9.5960999999999999</v>
      </c>
    </row>
    <row r="333" spans="2:5" x14ac:dyDescent="0.3">
      <c r="B333" s="10">
        <v>1.25</v>
      </c>
      <c r="C333" s="66">
        <v>9.7423999999999999</v>
      </c>
    </row>
    <row r="334" spans="2:5" x14ac:dyDescent="0.3">
      <c r="B334" s="10">
        <v>1.5</v>
      </c>
      <c r="C334" s="66">
        <v>9.8752999999999993</v>
      </c>
    </row>
    <row r="335" spans="2:5" x14ac:dyDescent="0.3">
      <c r="B335" s="10">
        <v>1.75</v>
      </c>
      <c r="C335" s="66">
        <v>9.9948999999999995</v>
      </c>
    </row>
    <row r="336" spans="2:5" x14ac:dyDescent="0.3">
      <c r="B336" s="10">
        <v>2</v>
      </c>
      <c r="C336" s="66">
        <v>10.1013</v>
      </c>
    </row>
    <row r="337" spans="2:3" x14ac:dyDescent="0.3">
      <c r="B337" s="10">
        <v>2.25</v>
      </c>
      <c r="C337" s="66">
        <v>10.1943</v>
      </c>
    </row>
    <row r="338" spans="2:3" x14ac:dyDescent="0.3">
      <c r="B338" s="10">
        <v>2.5</v>
      </c>
      <c r="C338" s="66">
        <v>10.273899999999999</v>
      </c>
    </row>
    <row r="339" spans="2:3" x14ac:dyDescent="0.3">
      <c r="B339" s="10">
        <v>2.75</v>
      </c>
      <c r="C339" s="66">
        <v>10.340299999999999</v>
      </c>
    </row>
    <row r="340" spans="2:3" x14ac:dyDescent="0.3">
      <c r="B340" s="10">
        <v>3</v>
      </c>
      <c r="C340" s="66">
        <v>10.3934</v>
      </c>
    </row>
    <row r="341" spans="2:3" x14ac:dyDescent="0.3">
      <c r="B341" s="10">
        <v>3.25</v>
      </c>
      <c r="C341" s="66">
        <v>10.4331</v>
      </c>
    </row>
    <row r="342" spans="2:3" x14ac:dyDescent="0.3">
      <c r="B342" s="10">
        <v>3.5</v>
      </c>
      <c r="C342" s="66">
        <v>10.4595</v>
      </c>
    </row>
    <row r="343" spans="2:3" x14ac:dyDescent="0.3">
      <c r="B343" s="10">
        <v>3.75</v>
      </c>
      <c r="C343" s="66">
        <v>10.4726</v>
      </c>
    </row>
    <row r="344" spans="2:3" x14ac:dyDescent="0.3">
      <c r="B344" s="10">
        <v>4</v>
      </c>
      <c r="C344" s="66">
        <v>10.4724</v>
      </c>
    </row>
    <row r="345" spans="2:3" x14ac:dyDescent="0.3">
      <c r="B345" s="10">
        <v>4.25</v>
      </c>
      <c r="C345" s="66">
        <v>10.4589</v>
      </c>
    </row>
    <row r="346" spans="2:3" x14ac:dyDescent="0.3">
      <c r="B346" s="10">
        <v>4.5</v>
      </c>
      <c r="C346" s="66">
        <v>10.432</v>
      </c>
    </row>
    <row r="347" spans="2:3" x14ac:dyDescent="0.3">
      <c r="B347" s="10">
        <v>4.75</v>
      </c>
      <c r="C347" s="66">
        <v>10.3919</v>
      </c>
    </row>
    <row r="348" spans="2:3" ht="15" thickBot="1" x14ac:dyDescent="0.35">
      <c r="B348" s="11">
        <v>5</v>
      </c>
      <c r="C348" s="5">
        <v>10.3384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1202-5DCE-4EDA-BAB1-06F12132AD88}">
  <dimension ref="B1:L707"/>
  <sheetViews>
    <sheetView workbookViewId="0">
      <selection activeCell="D8" sqref="D8"/>
    </sheetView>
  </sheetViews>
  <sheetFormatPr defaultRowHeight="14.4" x14ac:dyDescent="0.3"/>
  <cols>
    <col min="3" max="3" width="15.33203125" bestFit="1" customWidth="1"/>
    <col min="4" max="4" width="15.6640625" bestFit="1" customWidth="1"/>
    <col min="5" max="5" width="16.109375" bestFit="1" customWidth="1"/>
    <col min="6" max="6" width="12.109375" customWidth="1"/>
    <col min="7" max="7" width="20.77734375" customWidth="1"/>
    <col min="8" max="8" width="12.77734375" bestFit="1" customWidth="1"/>
    <col min="9" max="9" width="15.21875" customWidth="1"/>
    <col min="10" max="10" width="16.109375" customWidth="1"/>
    <col min="12" max="12" width="20.33203125" customWidth="1"/>
  </cols>
  <sheetData>
    <row r="1" spans="2:12" ht="15" thickBot="1" x14ac:dyDescent="0.35"/>
    <row r="2" spans="2:12" ht="29.4" thickBot="1" x14ac:dyDescent="0.35">
      <c r="B2" s="168" t="s">
        <v>221</v>
      </c>
      <c r="C2" s="167" t="s">
        <v>67</v>
      </c>
      <c r="D2" s="167" t="s">
        <v>222</v>
      </c>
      <c r="E2" s="167" t="s">
        <v>223</v>
      </c>
      <c r="F2" s="167" t="s">
        <v>224</v>
      </c>
      <c r="G2" s="167" t="s">
        <v>225</v>
      </c>
      <c r="H2" s="167" t="s">
        <v>94</v>
      </c>
      <c r="I2" s="167" t="s">
        <v>231</v>
      </c>
      <c r="J2" s="167" t="s">
        <v>233</v>
      </c>
      <c r="K2" s="167" t="s">
        <v>232</v>
      </c>
      <c r="L2" s="167" t="s">
        <v>234</v>
      </c>
    </row>
    <row r="3" spans="2:12" x14ac:dyDescent="0.3">
      <c r="B3" s="88">
        <v>1</v>
      </c>
      <c r="C3" s="114" t="s">
        <v>68</v>
      </c>
      <c r="D3" s="12">
        <v>15.64</v>
      </c>
      <c r="E3" s="114">
        <v>2.6599999999999999E-2</v>
      </c>
      <c r="F3" s="114">
        <v>8.3699999999999992</v>
      </c>
      <c r="G3" s="114">
        <v>23.5</v>
      </c>
      <c r="H3" s="114">
        <v>27</v>
      </c>
      <c r="I3" s="12">
        <f>D329</f>
        <v>6.7972775989386918</v>
      </c>
      <c r="J3" s="12">
        <f>D330</f>
        <v>56.57075905357118</v>
      </c>
      <c r="K3" s="12">
        <f>G330</f>
        <v>1.1392152920953314E-2</v>
      </c>
      <c r="L3" s="12" t="s">
        <v>236</v>
      </c>
    </row>
    <row r="4" spans="2:12" x14ac:dyDescent="0.3">
      <c r="B4" s="10">
        <f>B3+1</f>
        <v>2</v>
      </c>
      <c r="C4" s="66" t="s">
        <v>71</v>
      </c>
      <c r="D4" s="3">
        <v>5.0199999999999996</v>
      </c>
      <c r="E4" s="66">
        <v>2.7699999999999999E-2</v>
      </c>
      <c r="F4" s="66">
        <v>9.76</v>
      </c>
      <c r="G4" s="66">
        <v>23.6</v>
      </c>
      <c r="H4" s="66">
        <v>36</v>
      </c>
      <c r="I4" s="3">
        <f>D392</f>
        <v>6.2049231337240451</v>
      </c>
      <c r="J4" s="3">
        <f>D393</f>
        <v>128.84282309759425</v>
      </c>
      <c r="K4" s="3">
        <f>G393</f>
        <v>1.593403965507724E-8</v>
      </c>
      <c r="L4" s="3" t="s">
        <v>236</v>
      </c>
    </row>
    <row r="5" spans="2:12" x14ac:dyDescent="0.3">
      <c r="B5" s="10">
        <f t="shared" ref="B5:B8" si="0">B4+1</f>
        <v>3</v>
      </c>
      <c r="C5" s="66" t="s">
        <v>73</v>
      </c>
      <c r="D5" s="3">
        <v>4.67</v>
      </c>
      <c r="E5" s="66">
        <v>9.74E-2</v>
      </c>
      <c r="F5" s="66">
        <v>10.82</v>
      </c>
      <c r="G5" s="66">
        <v>85.3</v>
      </c>
      <c r="H5" s="66">
        <v>18</v>
      </c>
      <c r="I5" s="3">
        <f>D675</f>
        <v>11.321998400323471</v>
      </c>
      <c r="J5" s="3">
        <f>E676</f>
        <v>0</v>
      </c>
      <c r="K5" s="3">
        <f>G675</f>
        <v>3.5638747086396E-2</v>
      </c>
      <c r="L5" s="66" t="s">
        <v>237</v>
      </c>
    </row>
    <row r="6" spans="2:12" x14ac:dyDescent="0.3">
      <c r="B6" s="10">
        <f t="shared" si="0"/>
        <v>4</v>
      </c>
      <c r="C6" s="66" t="s">
        <v>59</v>
      </c>
      <c r="D6" s="3">
        <v>4.33</v>
      </c>
      <c r="E6" s="66">
        <v>8.1500000000000003E-2</v>
      </c>
      <c r="F6" s="66">
        <v>9.58</v>
      </c>
      <c r="G6" s="66">
        <v>25.3</v>
      </c>
      <c r="H6" s="66">
        <v>24</v>
      </c>
      <c r="I6" s="3">
        <f>D444</f>
        <v>9.3490238207078491</v>
      </c>
      <c r="J6" s="3">
        <f>D445</f>
        <v>0.75060548129528004</v>
      </c>
      <c r="K6" s="3">
        <f>G445</f>
        <v>0.82440000000000002</v>
      </c>
      <c r="L6" s="166" t="s">
        <v>238</v>
      </c>
    </row>
    <row r="7" spans="2:12" x14ac:dyDescent="0.3">
      <c r="B7" s="10">
        <f>B6+1</f>
        <v>5</v>
      </c>
      <c r="C7" s="66" t="s">
        <v>70</v>
      </c>
      <c r="D7" s="3">
        <v>2.38</v>
      </c>
      <c r="E7" s="66">
        <v>6.3200000000000006E-2</v>
      </c>
      <c r="F7" s="66">
        <v>8.42</v>
      </c>
      <c r="G7" s="66">
        <v>15.8</v>
      </c>
      <c r="H7" s="66">
        <v>54</v>
      </c>
      <c r="I7" s="3">
        <f>D631</f>
        <v>7.5030509281032476</v>
      </c>
      <c r="J7" s="3">
        <f>D632</f>
        <v>12.888926841406368</v>
      </c>
      <c r="K7" s="3">
        <f>G549</f>
        <v>5.3125326995407795E-3</v>
      </c>
      <c r="L7" s="166" t="s">
        <v>237</v>
      </c>
    </row>
    <row r="8" spans="2:12" x14ac:dyDescent="0.3">
      <c r="B8" s="10">
        <f t="shared" si="0"/>
        <v>6</v>
      </c>
      <c r="C8" s="66" t="s">
        <v>69</v>
      </c>
      <c r="D8" s="3">
        <v>2.2000000000000002</v>
      </c>
      <c r="E8" s="66">
        <v>8.7300000000000003E-2</v>
      </c>
      <c r="F8" s="66">
        <v>10.96</v>
      </c>
      <c r="G8" s="66">
        <v>121.6</v>
      </c>
      <c r="H8" s="66">
        <v>45</v>
      </c>
      <c r="I8" s="3">
        <f>D548</f>
        <v>9.5883638939240665</v>
      </c>
      <c r="J8" s="3">
        <f>D549</f>
        <v>14.645372190838236</v>
      </c>
      <c r="K8" s="3">
        <f>G549</f>
        <v>5.3125326995407795E-3</v>
      </c>
      <c r="L8" s="166" t="s">
        <v>237</v>
      </c>
    </row>
    <row r="9" spans="2:12" x14ac:dyDescent="0.3">
      <c r="B9" s="170"/>
      <c r="C9" s="170"/>
      <c r="D9" s="171"/>
      <c r="E9" s="170"/>
      <c r="F9" s="170"/>
      <c r="G9" s="170"/>
      <c r="H9" s="170"/>
      <c r="I9" s="171"/>
      <c r="J9" s="171"/>
      <c r="K9" s="171"/>
      <c r="L9" s="172"/>
    </row>
    <row r="10" spans="2:12" x14ac:dyDescent="0.3">
      <c r="B10" s="170"/>
      <c r="C10" s="170"/>
      <c r="D10" s="171"/>
      <c r="E10" s="170"/>
      <c r="F10" s="170"/>
      <c r="G10" s="170"/>
      <c r="H10" s="170"/>
      <c r="I10" s="171"/>
      <c r="J10" s="171"/>
      <c r="K10" s="171"/>
      <c r="L10" s="172"/>
    </row>
    <row r="11" spans="2:12" x14ac:dyDescent="0.3">
      <c r="B11" s="170"/>
      <c r="C11" s="170"/>
      <c r="D11" s="171"/>
      <c r="E11" s="170"/>
      <c r="F11" s="170"/>
      <c r="G11" s="170"/>
      <c r="H11" s="170"/>
      <c r="I11" s="171"/>
      <c r="J11" s="171"/>
      <c r="K11" s="171"/>
      <c r="L11" s="172"/>
    </row>
    <row r="12" spans="2:12" x14ac:dyDescent="0.3">
      <c r="B12" s="170"/>
      <c r="C12" s="170"/>
      <c r="D12" s="171"/>
      <c r="E12" s="170"/>
      <c r="F12" s="170"/>
      <c r="G12" s="170"/>
      <c r="H12" s="170"/>
      <c r="I12" s="171"/>
      <c r="J12" s="171"/>
      <c r="K12" s="171"/>
      <c r="L12" s="172"/>
    </row>
    <row r="13" spans="2:12" x14ac:dyDescent="0.3">
      <c r="B13" s="170"/>
      <c r="C13" s="170"/>
      <c r="D13" s="171"/>
      <c r="E13" s="170"/>
      <c r="F13" s="170"/>
      <c r="G13" s="170"/>
      <c r="H13" s="170"/>
      <c r="I13" s="171"/>
      <c r="J13" s="171"/>
      <c r="K13" s="171"/>
      <c r="L13" s="172"/>
    </row>
    <row r="14" spans="2:12" x14ac:dyDescent="0.3">
      <c r="B14" s="170"/>
      <c r="C14" s="170"/>
      <c r="D14" s="171"/>
      <c r="E14" s="170"/>
      <c r="F14" s="170"/>
      <c r="G14" s="170"/>
      <c r="H14" s="170"/>
      <c r="I14" s="171"/>
      <c r="J14" s="171"/>
      <c r="K14" s="171"/>
      <c r="L14" s="172"/>
    </row>
    <row r="15" spans="2:12" x14ac:dyDescent="0.3">
      <c r="B15" s="170"/>
      <c r="C15" s="170"/>
      <c r="D15" s="171"/>
      <c r="E15" s="170"/>
      <c r="F15" s="170"/>
      <c r="G15" s="170"/>
      <c r="H15" s="170"/>
      <c r="I15" s="171"/>
      <c r="J15" s="171"/>
      <c r="K15" s="171"/>
      <c r="L15" s="172"/>
    </row>
    <row r="16" spans="2:12" x14ac:dyDescent="0.3">
      <c r="B16" s="170"/>
      <c r="C16" s="170"/>
      <c r="D16" s="171"/>
      <c r="E16" s="170"/>
      <c r="F16" s="170"/>
      <c r="G16" s="170"/>
      <c r="H16" s="170"/>
      <c r="I16" s="171"/>
      <c r="J16" s="171"/>
      <c r="K16" s="171"/>
      <c r="L16" s="172"/>
    </row>
    <row r="17" spans="2:12" x14ac:dyDescent="0.3">
      <c r="B17" s="170"/>
      <c r="C17" s="170"/>
      <c r="D17" s="171"/>
      <c r="E17" s="170"/>
      <c r="F17" s="170"/>
      <c r="G17" s="170"/>
      <c r="H17" s="170"/>
      <c r="I17" s="171"/>
      <c r="J17" s="171"/>
      <c r="K17" s="171"/>
      <c r="L17" s="172"/>
    </row>
    <row r="18" spans="2:12" x14ac:dyDescent="0.3">
      <c r="B18" s="170"/>
      <c r="C18" s="170"/>
      <c r="D18" s="171"/>
      <c r="E18" s="170"/>
      <c r="F18" s="170"/>
      <c r="G18" s="170"/>
      <c r="H18" s="170"/>
      <c r="I18" s="171"/>
      <c r="J18" s="171"/>
      <c r="K18" s="171"/>
      <c r="L18" s="172"/>
    </row>
    <row r="19" spans="2:12" x14ac:dyDescent="0.3">
      <c r="B19" s="170"/>
      <c r="C19" s="170"/>
      <c r="D19" s="171"/>
      <c r="E19" s="170"/>
      <c r="F19" s="170"/>
      <c r="G19" s="170"/>
      <c r="H19" s="170"/>
      <c r="I19" s="171"/>
      <c r="J19" s="171"/>
      <c r="K19" s="171"/>
      <c r="L19" s="172"/>
    </row>
    <row r="20" spans="2:12" x14ac:dyDescent="0.3">
      <c r="B20" s="170"/>
      <c r="C20" s="170"/>
      <c r="D20" s="171"/>
      <c r="E20" s="170"/>
      <c r="F20" s="170"/>
      <c r="G20" s="170"/>
      <c r="H20" s="170"/>
      <c r="I20" s="171"/>
      <c r="J20" s="171"/>
      <c r="K20" s="171"/>
      <c r="L20" s="172"/>
    </row>
    <row r="21" spans="2:12" x14ac:dyDescent="0.3">
      <c r="B21" s="170"/>
      <c r="C21" s="170"/>
      <c r="D21" s="171"/>
      <c r="E21" s="170"/>
      <c r="F21" s="170"/>
      <c r="G21" s="170"/>
      <c r="H21" s="170"/>
      <c r="I21" s="171"/>
      <c r="J21" s="171"/>
      <c r="K21" s="171"/>
      <c r="L21" s="172"/>
    </row>
    <row r="22" spans="2:12" x14ac:dyDescent="0.3">
      <c r="B22" s="170"/>
      <c r="C22" s="170"/>
      <c r="D22" s="171"/>
      <c r="E22" s="170"/>
      <c r="F22" s="170"/>
      <c r="G22" s="170"/>
      <c r="H22" s="170"/>
      <c r="I22" s="171"/>
      <c r="J22" s="171"/>
      <c r="K22" s="171"/>
      <c r="L22" s="172"/>
    </row>
    <row r="23" spans="2:12" x14ac:dyDescent="0.3">
      <c r="B23" s="170"/>
      <c r="C23" s="170"/>
      <c r="D23" s="171"/>
      <c r="E23" s="170"/>
      <c r="F23" s="170"/>
      <c r="G23" s="170"/>
      <c r="H23" s="170"/>
      <c r="I23" s="171"/>
      <c r="J23" s="171"/>
      <c r="K23" s="171"/>
      <c r="L23" s="172"/>
    </row>
    <row r="24" spans="2:12" x14ac:dyDescent="0.3">
      <c r="B24" s="170"/>
      <c r="C24" s="170"/>
      <c r="D24" s="171"/>
      <c r="E24" s="170"/>
      <c r="F24" s="170"/>
      <c r="G24" s="170"/>
      <c r="H24" s="170"/>
      <c r="I24" s="171"/>
      <c r="J24" s="171"/>
      <c r="K24" s="171"/>
      <c r="L24" s="172"/>
    </row>
    <row r="25" spans="2:12" x14ac:dyDescent="0.3">
      <c r="B25" s="170"/>
      <c r="C25" s="170"/>
      <c r="D25" s="171"/>
      <c r="E25" s="170"/>
      <c r="F25" s="170"/>
      <c r="G25" s="170"/>
      <c r="H25" s="170"/>
      <c r="I25" s="171"/>
      <c r="J25" s="171"/>
      <c r="K25" s="171"/>
      <c r="L25" s="172"/>
    </row>
    <row r="27" spans="2:12" ht="33" hidden="1" customHeight="1" x14ac:dyDescent="0.3">
      <c r="C27" s="148" t="s">
        <v>0</v>
      </c>
      <c r="D27" s="149" t="s">
        <v>2</v>
      </c>
      <c r="E27" s="149" t="s">
        <v>230</v>
      </c>
      <c r="F27" s="149" t="s">
        <v>229</v>
      </c>
      <c r="G27" s="150" t="s">
        <v>228</v>
      </c>
      <c r="H27" s="149" t="s">
        <v>227</v>
      </c>
      <c r="I27" s="150" t="s">
        <v>226</v>
      </c>
      <c r="J27" s="150" t="s">
        <v>6</v>
      </c>
      <c r="K27" s="151" t="s">
        <v>13</v>
      </c>
    </row>
    <row r="28" spans="2:12" hidden="1" x14ac:dyDescent="0.3">
      <c r="C28" s="146" t="s">
        <v>181</v>
      </c>
      <c r="D28" s="104" t="s">
        <v>15</v>
      </c>
      <c r="E28" s="104" t="s">
        <v>68</v>
      </c>
      <c r="F28" s="104">
        <v>1820</v>
      </c>
      <c r="G28" s="104"/>
      <c r="H28" s="104">
        <v>28</v>
      </c>
      <c r="I28" s="107">
        <f>G28/H28</f>
        <v>0</v>
      </c>
      <c r="J28" s="104">
        <v>1.4200000000000001E-2</v>
      </c>
      <c r="K28" s="147">
        <v>7.506591780070841</v>
      </c>
    </row>
    <row r="29" spans="2:12" hidden="1" x14ac:dyDescent="0.3">
      <c r="C29" s="146" t="s">
        <v>182</v>
      </c>
      <c r="D29" s="104" t="s">
        <v>15</v>
      </c>
      <c r="E29" s="104" t="s">
        <v>68</v>
      </c>
      <c r="F29" s="104">
        <v>2100</v>
      </c>
      <c r="G29" s="104">
        <f>F29-F28</f>
        <v>280</v>
      </c>
      <c r="H29" s="104">
        <v>32</v>
      </c>
      <c r="I29" s="107">
        <f t="shared" ref="I29:I92" si="1">G29/H29</f>
        <v>8.75</v>
      </c>
      <c r="J29" s="104">
        <v>1.55E-2</v>
      </c>
      <c r="K29" s="147">
        <v>7.6496926237115144</v>
      </c>
    </row>
    <row r="30" spans="2:12" hidden="1" x14ac:dyDescent="0.3">
      <c r="C30" s="146" t="s">
        <v>183</v>
      </c>
      <c r="D30" s="104" t="s">
        <v>15</v>
      </c>
      <c r="E30" s="104" t="s">
        <v>68</v>
      </c>
      <c r="F30" s="104">
        <v>2450</v>
      </c>
      <c r="G30" s="104">
        <f t="shared" ref="G30:G37" si="2">F30-F29</f>
        <v>350</v>
      </c>
      <c r="H30" s="104">
        <v>36</v>
      </c>
      <c r="I30" s="107">
        <f t="shared" si="1"/>
        <v>9.7222222222222214</v>
      </c>
      <c r="J30" s="104">
        <v>1.6799999999999999E-2</v>
      </c>
      <c r="K30" s="147">
        <v>7.8038433035387724</v>
      </c>
    </row>
    <row r="31" spans="2:12" hidden="1" x14ac:dyDescent="0.3">
      <c r="C31" s="146" t="s">
        <v>184</v>
      </c>
      <c r="D31" s="104" t="s">
        <v>15</v>
      </c>
      <c r="E31" s="104" t="s">
        <v>68</v>
      </c>
      <c r="F31" s="104">
        <v>2680</v>
      </c>
      <c r="G31" s="104">
        <f t="shared" si="2"/>
        <v>230</v>
      </c>
      <c r="H31" s="104">
        <v>38</v>
      </c>
      <c r="I31" s="107">
        <f t="shared" si="1"/>
        <v>6.0526315789473681</v>
      </c>
      <c r="J31" s="104">
        <v>1.7500000000000002E-2</v>
      </c>
      <c r="K31" s="147">
        <v>7.8935720735049024</v>
      </c>
    </row>
    <row r="32" spans="2:12" hidden="1" x14ac:dyDescent="0.3">
      <c r="C32" s="146" t="s">
        <v>185</v>
      </c>
      <c r="D32" s="104" t="s">
        <v>15</v>
      </c>
      <c r="E32" s="104" t="s">
        <v>68</v>
      </c>
      <c r="F32" s="104">
        <v>2200</v>
      </c>
      <c r="G32" s="104">
        <f t="shared" si="2"/>
        <v>-480</v>
      </c>
      <c r="H32" s="104">
        <v>39</v>
      </c>
      <c r="I32" s="107">
        <f t="shared" si="1"/>
        <v>-12.307692307692308</v>
      </c>
      <c r="J32" s="104">
        <v>1.7999999999999999E-2</v>
      </c>
      <c r="K32" s="147">
        <v>7.696212639346407</v>
      </c>
    </row>
    <row r="33" spans="3:11" hidden="1" x14ac:dyDescent="0.3">
      <c r="C33" s="146" t="s">
        <v>186</v>
      </c>
      <c r="D33" s="104" t="s">
        <v>15</v>
      </c>
      <c r="E33" s="104" t="s">
        <v>68</v>
      </c>
      <c r="F33" s="104">
        <v>3100</v>
      </c>
      <c r="G33" s="104">
        <f t="shared" si="2"/>
        <v>900</v>
      </c>
      <c r="H33" s="104">
        <v>40</v>
      </c>
      <c r="I33" s="107">
        <f t="shared" si="1"/>
        <v>22.5</v>
      </c>
      <c r="J33" s="104">
        <v>1.8499999999999999E-2</v>
      </c>
      <c r="K33" s="147">
        <v>8.0391573904732372</v>
      </c>
    </row>
    <row r="34" spans="3:11" hidden="1" x14ac:dyDescent="0.3">
      <c r="C34" s="146" t="s">
        <v>14</v>
      </c>
      <c r="D34" s="104" t="s">
        <v>15</v>
      </c>
      <c r="E34" s="104" t="s">
        <v>68</v>
      </c>
      <c r="F34" s="104">
        <v>3743</v>
      </c>
      <c r="G34" s="104">
        <f t="shared" si="2"/>
        <v>643</v>
      </c>
      <c r="H34" s="104">
        <v>41</v>
      </c>
      <c r="I34" s="107">
        <f t="shared" si="1"/>
        <v>15.682926829268293</v>
      </c>
      <c r="J34" s="104">
        <v>1.89E-2</v>
      </c>
      <c r="K34" s="147">
        <v>8.2276427079044296</v>
      </c>
    </row>
    <row r="35" spans="3:11" hidden="1" x14ac:dyDescent="0.3">
      <c r="C35" s="146" t="s">
        <v>64</v>
      </c>
      <c r="D35" s="104" t="s">
        <v>15</v>
      </c>
      <c r="E35" s="104" t="s">
        <v>68</v>
      </c>
      <c r="F35" s="104">
        <v>5266</v>
      </c>
      <c r="G35" s="104">
        <f t="shared" si="2"/>
        <v>1523</v>
      </c>
      <c r="H35" s="104">
        <v>100</v>
      </c>
      <c r="I35" s="107">
        <f t="shared" si="1"/>
        <v>15.23</v>
      </c>
      <c r="J35" s="104">
        <v>2.12E-2</v>
      </c>
      <c r="K35" s="147">
        <v>8.5690263400562543</v>
      </c>
    </row>
    <row r="36" spans="3:11" hidden="1" x14ac:dyDescent="0.3">
      <c r="C36" s="146" t="s">
        <v>65</v>
      </c>
      <c r="D36" s="104" t="s">
        <v>15</v>
      </c>
      <c r="E36" s="104" t="s">
        <v>68</v>
      </c>
      <c r="F36" s="104">
        <v>20658.43</v>
      </c>
      <c r="G36" s="104">
        <f t="shared" si="2"/>
        <v>15392.43</v>
      </c>
      <c r="H36" s="104">
        <v>848</v>
      </c>
      <c r="I36" s="107">
        <f t="shared" si="1"/>
        <v>18.151450471698112</v>
      </c>
      <c r="J36" s="104">
        <v>2.5499999999999998E-2</v>
      </c>
      <c r="K36" s="147">
        <v>9.9358787475305057</v>
      </c>
    </row>
    <row r="37" spans="3:11" hidden="1" x14ac:dyDescent="0.3">
      <c r="C37" s="146" t="s">
        <v>66</v>
      </c>
      <c r="D37" s="104" t="s">
        <v>15</v>
      </c>
      <c r="E37" s="104" t="s">
        <v>68</v>
      </c>
      <c r="F37" s="104">
        <v>14717</v>
      </c>
      <c r="G37" s="104">
        <f t="shared" si="2"/>
        <v>-5941.43</v>
      </c>
      <c r="H37" s="104">
        <v>1052</v>
      </c>
      <c r="I37" s="107">
        <f t="shared" si="1"/>
        <v>-5.6477471482889738</v>
      </c>
      <c r="J37" s="104">
        <v>8.7737642585551338E-3</v>
      </c>
      <c r="K37" s="147">
        <v>9.5967585671641125</v>
      </c>
    </row>
    <row r="38" spans="3:11" hidden="1" x14ac:dyDescent="0.3">
      <c r="C38" s="146" t="s">
        <v>181</v>
      </c>
      <c r="D38" s="104" t="s">
        <v>18</v>
      </c>
      <c r="E38" s="104" t="s">
        <v>69</v>
      </c>
      <c r="F38" s="104">
        <v>95000</v>
      </c>
      <c r="G38" s="104"/>
      <c r="H38" s="104">
        <v>16800</v>
      </c>
      <c r="I38" s="107">
        <f t="shared" si="1"/>
        <v>0</v>
      </c>
      <c r="J38" s="104">
        <v>7.1999999999999995E-2</v>
      </c>
      <c r="K38" s="147">
        <v>11.461632170582678</v>
      </c>
    </row>
    <row r="39" spans="3:11" hidden="1" x14ac:dyDescent="0.3">
      <c r="C39" s="146" t="s">
        <v>182</v>
      </c>
      <c r="D39" s="104" t="s">
        <v>18</v>
      </c>
      <c r="E39" s="104" t="s">
        <v>69</v>
      </c>
      <c r="F39" s="104">
        <v>98000</v>
      </c>
      <c r="G39" s="104">
        <f>F39-F38</f>
        <v>3000</v>
      </c>
      <c r="H39" s="104">
        <v>17500</v>
      </c>
      <c r="I39" s="107">
        <f t="shared" si="1"/>
        <v>0.17142857142857143</v>
      </c>
      <c r="J39" s="104">
        <v>7.3999999999999996E-2</v>
      </c>
      <c r="K39" s="147">
        <v>11.492722757652709</v>
      </c>
    </row>
    <row r="40" spans="3:11" hidden="1" x14ac:dyDescent="0.3">
      <c r="C40" s="146" t="s">
        <v>183</v>
      </c>
      <c r="D40" s="104" t="s">
        <v>18</v>
      </c>
      <c r="E40" s="104" t="s">
        <v>69</v>
      </c>
      <c r="F40" s="104">
        <v>107000</v>
      </c>
      <c r="G40" s="104">
        <f t="shared" ref="G40:G103" si="3">F40-F39</f>
        <v>9000</v>
      </c>
      <c r="H40" s="104">
        <v>18600</v>
      </c>
      <c r="I40" s="107">
        <f t="shared" si="1"/>
        <v>0.4838709677419355</v>
      </c>
      <c r="J40" s="104">
        <v>7.8E-2</v>
      </c>
      <c r="K40" s="147">
        <v>11.580584113444043</v>
      </c>
    </row>
    <row r="41" spans="3:11" hidden="1" x14ac:dyDescent="0.3">
      <c r="C41" s="146" t="s">
        <v>184</v>
      </c>
      <c r="D41" s="104" t="s">
        <v>18</v>
      </c>
      <c r="E41" s="104" t="s">
        <v>69</v>
      </c>
      <c r="F41" s="104">
        <v>116000</v>
      </c>
      <c r="G41" s="104">
        <f t="shared" si="3"/>
        <v>9000</v>
      </c>
      <c r="H41" s="104">
        <v>19200</v>
      </c>
      <c r="I41" s="107">
        <f t="shared" si="1"/>
        <v>0.46875</v>
      </c>
      <c r="J41" s="104">
        <v>8.1000000000000003E-2</v>
      </c>
      <c r="K41" s="147">
        <v>11.661345470088502</v>
      </c>
    </row>
    <row r="42" spans="3:11" hidden="1" x14ac:dyDescent="0.3">
      <c r="C42" s="146" t="s">
        <v>185</v>
      </c>
      <c r="D42" s="104" t="s">
        <v>18</v>
      </c>
      <c r="E42" s="104" t="s">
        <v>69</v>
      </c>
      <c r="F42" s="104">
        <v>100000</v>
      </c>
      <c r="G42" s="104">
        <f t="shared" si="3"/>
        <v>-16000</v>
      </c>
      <c r="H42" s="104">
        <v>20000</v>
      </c>
      <c r="I42" s="107">
        <f t="shared" si="1"/>
        <v>-0.8</v>
      </c>
      <c r="J42" s="104">
        <v>8.4000000000000005E-2</v>
      </c>
      <c r="K42" s="147">
        <v>11.512925464970229</v>
      </c>
    </row>
    <row r="43" spans="3:11" hidden="1" x14ac:dyDescent="0.3">
      <c r="C43" s="146" t="s">
        <v>186</v>
      </c>
      <c r="D43" s="104" t="s">
        <v>18</v>
      </c>
      <c r="E43" s="104" t="s">
        <v>69</v>
      </c>
      <c r="F43" s="104">
        <v>110000</v>
      </c>
      <c r="G43" s="104">
        <f t="shared" si="3"/>
        <v>10000</v>
      </c>
      <c r="H43" s="104">
        <v>20339</v>
      </c>
      <c r="I43" s="107">
        <f t="shared" si="1"/>
        <v>0.49166625694478588</v>
      </c>
      <c r="J43" s="104">
        <v>8.5999999999999993E-2</v>
      </c>
      <c r="K43" s="147">
        <v>11.608235644774552</v>
      </c>
    </row>
    <row r="44" spans="3:11" hidden="1" x14ac:dyDescent="0.3">
      <c r="C44" s="146" t="s">
        <v>14</v>
      </c>
      <c r="D44" s="104" t="s">
        <v>18</v>
      </c>
      <c r="E44" s="104" t="s">
        <v>69</v>
      </c>
      <c r="F44" s="104">
        <v>130857</v>
      </c>
      <c r="G44" s="104">
        <f t="shared" si="3"/>
        <v>20857</v>
      </c>
      <c r="H44" s="104">
        <v>21035</v>
      </c>
      <c r="I44" s="107">
        <f t="shared" si="1"/>
        <v>0.99153791300213934</v>
      </c>
      <c r="J44" s="104">
        <v>5.6676725763862693E-2</v>
      </c>
      <c r="K44" s="147">
        <v>11.781860402897301</v>
      </c>
    </row>
    <row r="45" spans="3:11" hidden="1" x14ac:dyDescent="0.3">
      <c r="C45" s="146" t="s">
        <v>64</v>
      </c>
      <c r="D45" s="104" t="s">
        <v>18</v>
      </c>
      <c r="E45" s="104" t="s">
        <v>69</v>
      </c>
      <c r="F45" s="104">
        <v>169934</v>
      </c>
      <c r="G45" s="104">
        <f t="shared" si="3"/>
        <v>39077</v>
      </c>
      <c r="H45" s="104">
        <v>22823</v>
      </c>
      <c r="I45" s="107">
        <f t="shared" si="1"/>
        <v>1.7121763133680936</v>
      </c>
      <c r="J45" s="104">
        <v>5.9685606466747039E-2</v>
      </c>
      <c r="K45" s="147">
        <v>12.043165405355447</v>
      </c>
    </row>
    <row r="46" spans="3:11" hidden="1" x14ac:dyDescent="0.3">
      <c r="C46" s="146" t="s">
        <v>65</v>
      </c>
      <c r="D46" s="104" t="s">
        <v>18</v>
      </c>
      <c r="E46" s="104" t="s">
        <v>69</v>
      </c>
      <c r="F46" s="104">
        <v>325759</v>
      </c>
      <c r="G46" s="104">
        <f t="shared" si="3"/>
        <v>155825</v>
      </c>
      <c r="H46" s="104">
        <v>35385</v>
      </c>
      <c r="I46" s="107">
        <f t="shared" si="1"/>
        <v>4.4037021336724598</v>
      </c>
      <c r="J46" s="104">
        <v>8.9970861492928961E-2</v>
      </c>
      <c r="K46" s="147">
        <v>12.693913123154932</v>
      </c>
    </row>
    <row r="47" spans="3:11" hidden="1" x14ac:dyDescent="0.3">
      <c r="C47" s="146" t="s">
        <v>66</v>
      </c>
      <c r="D47" s="104" t="s">
        <v>18</v>
      </c>
      <c r="E47" s="104" t="s">
        <v>69</v>
      </c>
      <c r="F47" s="104">
        <v>346801</v>
      </c>
      <c r="G47" s="104">
        <f t="shared" si="3"/>
        <v>21042</v>
      </c>
      <c r="H47" s="104">
        <v>48594</v>
      </c>
      <c r="I47" s="107">
        <f t="shared" si="1"/>
        <v>0.43301642178046673</v>
      </c>
      <c r="J47" s="104">
        <v>0.11912717538126628</v>
      </c>
      <c r="K47" s="147">
        <v>12.75650640739071</v>
      </c>
    </row>
    <row r="48" spans="3:11" hidden="1" x14ac:dyDescent="0.3">
      <c r="C48" s="146" t="s">
        <v>181</v>
      </c>
      <c r="D48" s="104" t="s">
        <v>19</v>
      </c>
      <c r="E48" s="104" t="s">
        <v>69</v>
      </c>
      <c r="F48" s="104">
        <v>10200</v>
      </c>
      <c r="G48" s="104"/>
      <c r="H48" s="104">
        <v>4200</v>
      </c>
      <c r="I48" s="107">
        <f t="shared" si="1"/>
        <v>0</v>
      </c>
      <c r="J48" s="104">
        <v>4.8000000000000001E-2</v>
      </c>
      <c r="K48" s="147">
        <v>9.2301429992723616</v>
      </c>
    </row>
    <row r="49" spans="3:11" hidden="1" x14ac:dyDescent="0.3">
      <c r="C49" s="146" t="s">
        <v>182</v>
      </c>
      <c r="D49" s="104" t="s">
        <v>19</v>
      </c>
      <c r="E49" s="104" t="s">
        <v>69</v>
      </c>
      <c r="F49" s="104">
        <v>10800</v>
      </c>
      <c r="G49" s="104">
        <f t="shared" si="3"/>
        <v>600</v>
      </c>
      <c r="H49" s="104">
        <v>4500</v>
      </c>
      <c r="I49" s="107">
        <f t="shared" si="1"/>
        <v>0.13333333333333333</v>
      </c>
      <c r="J49" s="104">
        <v>0.05</v>
      </c>
      <c r="K49" s="147">
        <v>9.2873014131123117</v>
      </c>
    </row>
    <row r="50" spans="3:11" hidden="1" x14ac:dyDescent="0.3">
      <c r="C50" s="146" t="s">
        <v>183</v>
      </c>
      <c r="D50" s="104" t="s">
        <v>19</v>
      </c>
      <c r="E50" s="104" t="s">
        <v>69</v>
      </c>
      <c r="F50" s="104">
        <v>11500</v>
      </c>
      <c r="G50" s="104">
        <f t="shared" si="3"/>
        <v>700</v>
      </c>
      <c r="H50" s="104">
        <v>4800</v>
      </c>
      <c r="I50" s="107">
        <f t="shared" si="1"/>
        <v>0.14583333333333334</v>
      </c>
      <c r="J50" s="104">
        <v>5.2999999999999999E-2</v>
      </c>
      <c r="K50" s="147">
        <v>9.3501023143513411</v>
      </c>
    </row>
    <row r="51" spans="3:11" hidden="1" x14ac:dyDescent="0.3">
      <c r="C51" s="146" t="s">
        <v>184</v>
      </c>
      <c r="D51" s="104" t="s">
        <v>19</v>
      </c>
      <c r="E51" s="104" t="s">
        <v>69</v>
      </c>
      <c r="F51" s="104">
        <v>12200</v>
      </c>
      <c r="G51" s="104">
        <f t="shared" si="3"/>
        <v>700</v>
      </c>
      <c r="H51" s="104">
        <v>5100</v>
      </c>
      <c r="I51" s="107">
        <f t="shared" si="1"/>
        <v>0.13725490196078433</v>
      </c>
      <c r="J51" s="104">
        <v>5.6000000000000001E-2</v>
      </c>
      <c r="K51" s="147">
        <v>9.4091912307213477</v>
      </c>
    </row>
    <row r="52" spans="3:11" hidden="1" x14ac:dyDescent="0.3">
      <c r="C52" s="146" t="s">
        <v>185</v>
      </c>
      <c r="D52" s="104" t="s">
        <v>19</v>
      </c>
      <c r="E52" s="104" t="s">
        <v>69</v>
      </c>
      <c r="F52" s="104">
        <v>8900</v>
      </c>
      <c r="G52" s="104">
        <f t="shared" si="3"/>
        <v>-3300</v>
      </c>
      <c r="H52" s="104">
        <v>5400</v>
      </c>
      <c r="I52" s="107">
        <f t="shared" si="1"/>
        <v>-0.61111111111111116</v>
      </c>
      <c r="J52" s="104">
        <v>5.7000000000000002E-2</v>
      </c>
      <c r="K52" s="147">
        <v>9.0938065557202314</v>
      </c>
    </row>
    <row r="53" spans="3:11" hidden="1" x14ac:dyDescent="0.3">
      <c r="C53" s="146" t="s">
        <v>186</v>
      </c>
      <c r="D53" s="104" t="s">
        <v>19</v>
      </c>
      <c r="E53" s="104" t="s">
        <v>69</v>
      </c>
      <c r="F53" s="104">
        <v>18000</v>
      </c>
      <c r="G53" s="104">
        <f t="shared" si="3"/>
        <v>9100</v>
      </c>
      <c r="H53" s="104">
        <v>5800</v>
      </c>
      <c r="I53" s="107">
        <f t="shared" si="1"/>
        <v>1.5689655172413792</v>
      </c>
      <c r="J53" s="104">
        <v>5.8000000000000003E-2</v>
      </c>
      <c r="K53" s="147">
        <v>9.7981270368783022</v>
      </c>
    </row>
    <row r="54" spans="3:11" hidden="1" x14ac:dyDescent="0.3">
      <c r="C54" s="146" t="s">
        <v>14</v>
      </c>
      <c r="D54" s="104" t="s">
        <v>19</v>
      </c>
      <c r="E54" s="104" t="s">
        <v>69</v>
      </c>
      <c r="F54" s="104">
        <v>76321</v>
      </c>
      <c r="G54" s="104">
        <f t="shared" si="3"/>
        <v>58321</v>
      </c>
      <c r="H54" s="104">
        <v>7268</v>
      </c>
      <c r="I54" s="107">
        <f t="shared" si="1"/>
        <v>8.0243533296642813</v>
      </c>
      <c r="J54" s="104">
        <v>6.0100000000000001E-2</v>
      </c>
      <c r="K54" s="147">
        <v>11.242703408761695</v>
      </c>
    </row>
    <row r="55" spans="3:11" hidden="1" x14ac:dyDescent="0.3">
      <c r="C55" s="146" t="s">
        <v>64</v>
      </c>
      <c r="D55" s="104" t="s">
        <v>19</v>
      </c>
      <c r="E55" s="104" t="s">
        <v>69</v>
      </c>
      <c r="F55" s="104">
        <v>60775</v>
      </c>
      <c r="G55" s="104">
        <f t="shared" si="3"/>
        <v>-15546</v>
      </c>
      <c r="H55" s="104">
        <v>7656</v>
      </c>
      <c r="I55" s="107">
        <f t="shared" si="1"/>
        <v>-2.030564263322884</v>
      </c>
      <c r="J55" s="104">
        <v>7.0000000000000007E-2</v>
      </c>
      <c r="K55" s="147">
        <v>11.014933799184323</v>
      </c>
    </row>
    <row r="56" spans="3:11" hidden="1" x14ac:dyDescent="0.3">
      <c r="C56" s="146" t="s">
        <v>65</v>
      </c>
      <c r="D56" s="104" t="s">
        <v>19</v>
      </c>
      <c r="E56" s="104" t="s">
        <v>69</v>
      </c>
      <c r="F56" s="104">
        <v>125000</v>
      </c>
      <c r="G56" s="104">
        <f t="shared" si="3"/>
        <v>64225</v>
      </c>
      <c r="H56" s="104">
        <v>13333</v>
      </c>
      <c r="I56" s="107">
        <f t="shared" si="1"/>
        <v>4.8169954248856222</v>
      </c>
      <c r="J56" s="104">
        <v>8.0600000000000005E-2</v>
      </c>
      <c r="K56" s="147">
        <v>11.736069016284437</v>
      </c>
    </row>
    <row r="57" spans="3:11" hidden="1" x14ac:dyDescent="0.3">
      <c r="C57" s="146" t="s">
        <v>66</v>
      </c>
      <c r="D57" s="104" t="s">
        <v>19</v>
      </c>
      <c r="E57" s="104" t="s">
        <v>69</v>
      </c>
      <c r="F57" s="104">
        <v>120000</v>
      </c>
      <c r="G57" s="104">
        <f t="shared" si="3"/>
        <v>-5000</v>
      </c>
      <c r="H57" s="104">
        <v>18322</v>
      </c>
      <c r="I57" s="107">
        <f t="shared" si="1"/>
        <v>-0.27289597205545246</v>
      </c>
      <c r="J57" s="104">
        <v>8.9599999999999999E-2</v>
      </c>
      <c r="K57" s="147">
        <v>11.695247021764184</v>
      </c>
    </row>
    <row r="58" spans="3:11" hidden="1" x14ac:dyDescent="0.3">
      <c r="C58" s="146" t="s">
        <v>181</v>
      </c>
      <c r="D58" s="104" t="s">
        <v>21</v>
      </c>
      <c r="E58" s="104" t="s">
        <v>70</v>
      </c>
      <c r="F58" s="104">
        <v>6800</v>
      </c>
      <c r="G58" s="104"/>
      <c r="H58" s="104">
        <v>1650</v>
      </c>
      <c r="I58" s="107">
        <f t="shared" si="1"/>
        <v>0</v>
      </c>
      <c r="J58" s="104">
        <v>0.112</v>
      </c>
      <c r="K58" s="147">
        <v>8.8246778911641979</v>
      </c>
    </row>
    <row r="59" spans="3:11" hidden="1" x14ac:dyDescent="0.3">
      <c r="C59" s="146" t="s">
        <v>182</v>
      </c>
      <c r="D59" s="104" t="s">
        <v>21</v>
      </c>
      <c r="E59" s="104" t="s">
        <v>70</v>
      </c>
      <c r="F59" s="104">
        <v>7200</v>
      </c>
      <c r="G59" s="104">
        <f t="shared" si="3"/>
        <v>400</v>
      </c>
      <c r="H59" s="104">
        <v>1780</v>
      </c>
      <c r="I59" s="107">
        <f t="shared" si="1"/>
        <v>0.2247191011235955</v>
      </c>
      <c r="J59" s="104">
        <v>0.11799999999999999</v>
      </c>
      <c r="K59" s="147">
        <v>8.8818363050041462</v>
      </c>
    </row>
    <row r="60" spans="3:11" hidden="1" x14ac:dyDescent="0.3">
      <c r="C60" s="146" t="s">
        <v>183</v>
      </c>
      <c r="D60" s="104" t="s">
        <v>21</v>
      </c>
      <c r="E60" s="104" t="s">
        <v>70</v>
      </c>
      <c r="F60" s="104">
        <v>6500</v>
      </c>
      <c r="G60" s="104">
        <f t="shared" si="3"/>
        <v>-700</v>
      </c>
      <c r="H60" s="104">
        <v>1900</v>
      </c>
      <c r="I60" s="107">
        <f t="shared" si="1"/>
        <v>-0.36842105263157893</v>
      </c>
      <c r="J60" s="104">
        <v>0.124</v>
      </c>
      <c r="K60" s="147">
        <v>8.7795574558837277</v>
      </c>
    </row>
    <row r="61" spans="3:11" hidden="1" x14ac:dyDescent="0.3">
      <c r="C61" s="146" t="s">
        <v>184</v>
      </c>
      <c r="D61" s="104" t="s">
        <v>21</v>
      </c>
      <c r="E61" s="104" t="s">
        <v>70</v>
      </c>
      <c r="F61" s="104">
        <v>7100</v>
      </c>
      <c r="G61" s="104">
        <f t="shared" si="3"/>
        <v>600</v>
      </c>
      <c r="H61" s="104">
        <v>2020</v>
      </c>
      <c r="I61" s="107">
        <f t="shared" si="1"/>
        <v>0.29702970297029702</v>
      </c>
      <c r="J61" s="104">
        <v>0.128</v>
      </c>
      <c r="K61" s="147">
        <v>8.8678500630294064</v>
      </c>
    </row>
    <row r="62" spans="3:11" hidden="1" x14ac:dyDescent="0.3">
      <c r="C62" s="146" t="s">
        <v>185</v>
      </c>
      <c r="D62" s="104" t="s">
        <v>21</v>
      </c>
      <c r="E62" s="104" t="s">
        <v>70</v>
      </c>
      <c r="F62" s="104">
        <v>5800</v>
      </c>
      <c r="G62" s="104">
        <f t="shared" si="3"/>
        <v>-1300</v>
      </c>
      <c r="H62" s="104">
        <v>2100</v>
      </c>
      <c r="I62" s="107">
        <f t="shared" si="1"/>
        <v>-0.61904761904761907</v>
      </c>
      <c r="J62" s="104">
        <v>0.13100000000000001</v>
      </c>
      <c r="K62" s="147">
        <v>8.66561319653451</v>
      </c>
    </row>
    <row r="63" spans="3:11" hidden="1" x14ac:dyDescent="0.3">
      <c r="C63" s="146" t="s">
        <v>186</v>
      </c>
      <c r="D63" s="104" t="s">
        <v>21</v>
      </c>
      <c r="E63" s="104" t="s">
        <v>70</v>
      </c>
      <c r="F63" s="104">
        <v>7500</v>
      </c>
      <c r="G63" s="104">
        <f t="shared" si="3"/>
        <v>1700</v>
      </c>
      <c r="H63" s="104">
        <v>2180</v>
      </c>
      <c r="I63" s="107">
        <f t="shared" si="1"/>
        <v>0.77981651376146788</v>
      </c>
      <c r="J63" s="104">
        <v>0.13500000000000001</v>
      </c>
      <c r="K63" s="147">
        <v>8.9226582995244019</v>
      </c>
    </row>
    <row r="64" spans="3:11" hidden="1" x14ac:dyDescent="0.3">
      <c r="C64" s="146" t="s">
        <v>14</v>
      </c>
      <c r="D64" s="104" t="s">
        <v>21</v>
      </c>
      <c r="E64" s="104" t="s">
        <v>70</v>
      </c>
      <c r="F64" s="104">
        <v>13078</v>
      </c>
      <c r="G64" s="104">
        <f t="shared" si="3"/>
        <v>5578</v>
      </c>
      <c r="H64" s="104">
        <v>2271</v>
      </c>
      <c r="I64" s="107">
        <f t="shared" si="1"/>
        <v>2.4561867018934391</v>
      </c>
      <c r="J64" s="104">
        <v>0.14019999999999999</v>
      </c>
      <c r="K64" s="147">
        <v>9.4786867081212218</v>
      </c>
    </row>
    <row r="65" spans="3:11" hidden="1" x14ac:dyDescent="0.3">
      <c r="C65" s="146" t="s">
        <v>64</v>
      </c>
      <c r="D65" s="104" t="s">
        <v>21</v>
      </c>
      <c r="E65" s="104" t="s">
        <v>70</v>
      </c>
      <c r="F65" s="104">
        <v>19305</v>
      </c>
      <c r="G65" s="104">
        <f t="shared" si="3"/>
        <v>6227</v>
      </c>
      <c r="H65" s="104">
        <v>2710</v>
      </c>
      <c r="I65" s="107">
        <f t="shared" si="1"/>
        <v>2.2977859778597787</v>
      </c>
      <c r="J65" s="104">
        <v>0.1643</v>
      </c>
      <c r="K65" s="147">
        <v>9.8681194086983375</v>
      </c>
    </row>
    <row r="66" spans="3:11" hidden="1" x14ac:dyDescent="0.3">
      <c r="C66" s="146" t="s">
        <v>65</v>
      </c>
      <c r="D66" s="104" t="s">
        <v>21</v>
      </c>
      <c r="E66" s="104" t="s">
        <v>70</v>
      </c>
      <c r="F66" s="104">
        <v>24188</v>
      </c>
      <c r="G66" s="104">
        <f t="shared" si="3"/>
        <v>4883</v>
      </c>
      <c r="H66" s="104">
        <v>3169</v>
      </c>
      <c r="I66" s="107">
        <f t="shared" si="1"/>
        <v>1.5408646260650047</v>
      </c>
      <c r="J66" s="104">
        <v>0.1875</v>
      </c>
      <c r="K66" s="147">
        <v>10.093611921393103</v>
      </c>
    </row>
    <row r="67" spans="3:11" hidden="1" x14ac:dyDescent="0.3">
      <c r="C67" s="146" t="s">
        <v>66</v>
      </c>
      <c r="D67" s="104" t="s">
        <v>21</v>
      </c>
      <c r="E67" s="104" t="s">
        <v>70</v>
      </c>
      <c r="F67" s="104">
        <v>25673</v>
      </c>
      <c r="G67" s="104">
        <f t="shared" si="3"/>
        <v>1485</v>
      </c>
      <c r="H67" s="104">
        <v>3500</v>
      </c>
      <c r="I67" s="107">
        <f t="shared" si="1"/>
        <v>0.42428571428571427</v>
      </c>
      <c r="J67" s="104">
        <v>0.1978</v>
      </c>
      <c r="K67" s="147">
        <v>10.153195134975888</v>
      </c>
    </row>
    <row r="68" spans="3:11" hidden="1" x14ac:dyDescent="0.3">
      <c r="C68" s="146" t="s">
        <v>181</v>
      </c>
      <c r="D68" s="104" t="s">
        <v>23</v>
      </c>
      <c r="E68" s="104" t="s">
        <v>69</v>
      </c>
      <c r="F68" s="104">
        <v>70000</v>
      </c>
      <c r="G68" s="104"/>
      <c r="H68" s="104">
        <v>12000</v>
      </c>
      <c r="I68" s="107">
        <f t="shared" si="1"/>
        <v>0</v>
      </c>
      <c r="J68" s="104">
        <v>7.6999999999999999E-2</v>
      </c>
      <c r="K68" s="147">
        <v>11.156250521031495</v>
      </c>
    </row>
    <row r="69" spans="3:11" hidden="1" x14ac:dyDescent="0.3">
      <c r="C69" s="146" t="s">
        <v>182</v>
      </c>
      <c r="D69" s="104" t="s">
        <v>23</v>
      </c>
      <c r="E69" s="104" t="s">
        <v>69</v>
      </c>
      <c r="F69" s="104">
        <v>76000</v>
      </c>
      <c r="G69" s="104">
        <f t="shared" si="3"/>
        <v>6000</v>
      </c>
      <c r="H69" s="104">
        <v>13000</v>
      </c>
      <c r="I69" s="107">
        <f t="shared" si="1"/>
        <v>0.46153846153846156</v>
      </c>
      <c r="J69" s="104">
        <v>7.9000000000000001E-2</v>
      </c>
      <c r="K69" s="147">
        <v>11.238488619268468</v>
      </c>
    </row>
    <row r="70" spans="3:11" hidden="1" x14ac:dyDescent="0.3">
      <c r="C70" s="146" t="s">
        <v>183</v>
      </c>
      <c r="D70" s="104" t="s">
        <v>23</v>
      </c>
      <c r="E70" s="104" t="s">
        <v>69</v>
      </c>
      <c r="F70" s="104">
        <v>82000</v>
      </c>
      <c r="G70" s="104">
        <f t="shared" si="3"/>
        <v>6000</v>
      </c>
      <c r="H70" s="104">
        <v>14000</v>
      </c>
      <c r="I70" s="107">
        <f t="shared" si="1"/>
        <v>0.42857142857142855</v>
      </c>
      <c r="J70" s="104">
        <v>8.1000000000000003E-2</v>
      </c>
      <c r="K70" s="147">
        <v>11.314474526246391</v>
      </c>
    </row>
    <row r="71" spans="3:11" hidden="1" x14ac:dyDescent="0.3">
      <c r="C71" s="146" t="s">
        <v>184</v>
      </c>
      <c r="D71" s="104" t="s">
        <v>23</v>
      </c>
      <c r="E71" s="104" t="s">
        <v>69</v>
      </c>
      <c r="F71" s="104">
        <v>88000</v>
      </c>
      <c r="G71" s="104">
        <f t="shared" si="3"/>
        <v>6000</v>
      </c>
      <c r="H71" s="104">
        <v>15500</v>
      </c>
      <c r="I71" s="107">
        <f t="shared" si="1"/>
        <v>0.38709677419354838</v>
      </c>
      <c r="J71" s="104">
        <v>8.3000000000000004E-2</v>
      </c>
      <c r="K71" s="147">
        <v>11.385092093460344</v>
      </c>
    </row>
    <row r="72" spans="3:11" hidden="1" x14ac:dyDescent="0.3">
      <c r="C72" s="146" t="s">
        <v>185</v>
      </c>
      <c r="D72" s="104" t="s">
        <v>23</v>
      </c>
      <c r="E72" s="104" t="s">
        <v>69</v>
      </c>
      <c r="F72" s="104">
        <v>78000</v>
      </c>
      <c r="G72" s="104">
        <f t="shared" si="3"/>
        <v>-10000</v>
      </c>
      <c r="H72" s="104">
        <v>14200</v>
      </c>
      <c r="I72" s="107">
        <f t="shared" si="1"/>
        <v>-0.70422535211267601</v>
      </c>
      <c r="J72" s="104">
        <v>8.2000000000000003E-2</v>
      </c>
      <c r="K72" s="147">
        <v>11.264464105671729</v>
      </c>
    </row>
    <row r="73" spans="3:11" hidden="1" x14ac:dyDescent="0.3">
      <c r="C73" s="146" t="s">
        <v>186</v>
      </c>
      <c r="D73" s="104" t="s">
        <v>23</v>
      </c>
      <c r="E73" s="104" t="s">
        <v>69</v>
      </c>
      <c r="F73" s="104">
        <v>85000</v>
      </c>
      <c r="G73" s="104">
        <f t="shared" si="3"/>
        <v>7000</v>
      </c>
      <c r="H73" s="104">
        <v>9212</v>
      </c>
      <c r="I73" s="107">
        <f t="shared" si="1"/>
        <v>0.75987841945288759</v>
      </c>
      <c r="J73" s="104">
        <v>8.4000000000000005E-2</v>
      </c>
      <c r="K73" s="147">
        <v>11.350406535472453</v>
      </c>
    </row>
    <row r="74" spans="3:11" hidden="1" x14ac:dyDescent="0.3">
      <c r="C74" s="146" t="s">
        <v>14</v>
      </c>
      <c r="D74" s="104" t="s">
        <v>23</v>
      </c>
      <c r="E74" s="104" t="s">
        <v>69</v>
      </c>
      <c r="F74" s="104">
        <v>118243</v>
      </c>
      <c r="G74" s="104">
        <f t="shared" si="3"/>
        <v>33243</v>
      </c>
      <c r="H74" s="104">
        <v>9426</v>
      </c>
      <c r="I74" s="107">
        <f t="shared" si="1"/>
        <v>3.5267345639719925</v>
      </c>
      <c r="J74" s="104">
        <v>3.7561267184698148E-2</v>
      </c>
      <c r="K74" s="147">
        <v>11.680497107984655</v>
      </c>
    </row>
    <row r="75" spans="3:11" hidden="1" x14ac:dyDescent="0.3">
      <c r="C75" s="146" t="s">
        <v>64</v>
      </c>
      <c r="D75" s="104" t="s">
        <v>23</v>
      </c>
      <c r="E75" s="104" t="s">
        <v>69</v>
      </c>
      <c r="F75" s="104">
        <v>157430</v>
      </c>
      <c r="G75" s="104">
        <f t="shared" si="3"/>
        <v>39187</v>
      </c>
      <c r="H75" s="104">
        <v>9212</v>
      </c>
      <c r="I75" s="107">
        <f t="shared" si="1"/>
        <v>4.2539079461571863</v>
      </c>
      <c r="J75" s="104">
        <v>3.6522945782535433E-2</v>
      </c>
      <c r="K75" s="147">
        <v>11.966736194008675</v>
      </c>
    </row>
    <row r="76" spans="3:11" hidden="1" x14ac:dyDescent="0.3">
      <c r="C76" s="146" t="s">
        <v>65</v>
      </c>
      <c r="D76" s="104" t="s">
        <v>23</v>
      </c>
      <c r="E76" s="104" t="s">
        <v>69</v>
      </c>
      <c r="F76" s="104">
        <v>257672</v>
      </c>
      <c r="G76" s="104">
        <f t="shared" si="3"/>
        <v>100242</v>
      </c>
      <c r="H76" s="104">
        <v>12500</v>
      </c>
      <c r="I76" s="107">
        <f t="shared" si="1"/>
        <v>8.0193600000000007</v>
      </c>
      <c r="J76" s="104">
        <v>4.9834747975712537E-2</v>
      </c>
      <c r="K76" s="147">
        <v>12.45944273726421</v>
      </c>
    </row>
    <row r="77" spans="3:11" hidden="1" x14ac:dyDescent="0.3">
      <c r="C77" s="146" t="s">
        <v>66</v>
      </c>
      <c r="D77" s="104" t="s">
        <v>23</v>
      </c>
      <c r="E77" s="104" t="s">
        <v>69</v>
      </c>
      <c r="F77" s="104">
        <v>270136</v>
      </c>
      <c r="G77" s="104">
        <f t="shared" si="3"/>
        <v>12464</v>
      </c>
      <c r="H77" s="104">
        <v>26255</v>
      </c>
      <c r="I77" s="107">
        <f t="shared" si="1"/>
        <v>0.47472862311940583</v>
      </c>
      <c r="J77" s="104">
        <v>9.8662578116486099E-2</v>
      </c>
      <c r="K77" s="147">
        <v>12.506680814868089</v>
      </c>
    </row>
    <row r="78" spans="3:11" hidden="1" x14ac:dyDescent="0.3">
      <c r="C78" s="146" t="s">
        <v>181</v>
      </c>
      <c r="D78" s="104" t="s">
        <v>25</v>
      </c>
      <c r="E78" s="104" t="s">
        <v>70</v>
      </c>
      <c r="F78" s="104">
        <v>1200</v>
      </c>
      <c r="G78" s="104"/>
      <c r="H78" s="104">
        <v>98</v>
      </c>
      <c r="I78" s="107">
        <f t="shared" si="1"/>
        <v>0</v>
      </c>
      <c r="J78" s="104">
        <v>5.8000000000000003E-2</v>
      </c>
      <c r="K78" s="147">
        <v>7.0900768357760917</v>
      </c>
    </row>
    <row r="79" spans="3:11" hidden="1" x14ac:dyDescent="0.3">
      <c r="C79" s="146" t="s">
        <v>182</v>
      </c>
      <c r="D79" s="104" t="s">
        <v>25</v>
      </c>
      <c r="E79" s="104" t="s">
        <v>70</v>
      </c>
      <c r="F79" s="104">
        <v>1580</v>
      </c>
      <c r="G79" s="104">
        <f t="shared" si="3"/>
        <v>380</v>
      </c>
      <c r="H79" s="104">
        <v>112</v>
      </c>
      <c r="I79" s="107">
        <f t="shared" si="1"/>
        <v>3.3928571428571428</v>
      </c>
      <c r="J79" s="104">
        <v>6.2E-2</v>
      </c>
      <c r="K79" s="147">
        <v>7.3651801260210128</v>
      </c>
    </row>
    <row r="80" spans="3:11" hidden="1" x14ac:dyDescent="0.3">
      <c r="C80" s="146" t="s">
        <v>183</v>
      </c>
      <c r="D80" s="104" t="s">
        <v>25</v>
      </c>
      <c r="E80" s="104" t="s">
        <v>70</v>
      </c>
      <c r="F80" s="104">
        <v>2200</v>
      </c>
      <c r="G80" s="104">
        <f t="shared" si="3"/>
        <v>620</v>
      </c>
      <c r="H80" s="104">
        <v>145</v>
      </c>
      <c r="I80" s="107">
        <f t="shared" si="1"/>
        <v>4.2758620689655169</v>
      </c>
      <c r="J80" s="104">
        <v>7.1999999999999995E-2</v>
      </c>
      <c r="K80" s="147">
        <v>7.696212639346407</v>
      </c>
    </row>
    <row r="81" spans="3:11" hidden="1" x14ac:dyDescent="0.3">
      <c r="C81" s="146" t="s">
        <v>184</v>
      </c>
      <c r="D81" s="104" t="s">
        <v>25</v>
      </c>
      <c r="E81" s="104" t="s">
        <v>70</v>
      </c>
      <c r="F81" s="104">
        <v>3800</v>
      </c>
      <c r="G81" s="104">
        <f t="shared" si="3"/>
        <v>1600</v>
      </c>
      <c r="H81" s="104">
        <v>190</v>
      </c>
      <c r="I81" s="107">
        <f t="shared" si="1"/>
        <v>8.4210526315789469</v>
      </c>
      <c r="J81" s="104">
        <v>8.2000000000000003E-2</v>
      </c>
      <c r="K81" s="147">
        <v>8.2427563457144775</v>
      </c>
    </row>
    <row r="82" spans="3:11" hidden="1" x14ac:dyDescent="0.3">
      <c r="C82" s="146" t="s">
        <v>185</v>
      </c>
      <c r="D82" s="104" t="s">
        <v>25</v>
      </c>
      <c r="E82" s="104" t="s">
        <v>70</v>
      </c>
      <c r="F82" s="104">
        <v>3200</v>
      </c>
      <c r="G82" s="104">
        <f t="shared" si="3"/>
        <v>-600</v>
      </c>
      <c r="H82" s="104">
        <v>220</v>
      </c>
      <c r="I82" s="107">
        <f t="shared" si="1"/>
        <v>-2.7272727272727271</v>
      </c>
      <c r="J82" s="104">
        <v>8.5000000000000006E-2</v>
      </c>
      <c r="K82" s="147">
        <v>8.0709060887878188</v>
      </c>
    </row>
    <row r="83" spans="3:11" hidden="1" x14ac:dyDescent="0.3">
      <c r="C83" s="146" t="s">
        <v>186</v>
      </c>
      <c r="D83" s="104" t="s">
        <v>25</v>
      </c>
      <c r="E83" s="104" t="s">
        <v>70</v>
      </c>
      <c r="F83" s="104">
        <v>4800</v>
      </c>
      <c r="G83" s="104">
        <f t="shared" si="3"/>
        <v>1600</v>
      </c>
      <c r="H83" s="104">
        <v>260</v>
      </c>
      <c r="I83" s="107">
        <f t="shared" si="1"/>
        <v>6.1538461538461542</v>
      </c>
      <c r="J83" s="104">
        <v>8.7999999999999995E-2</v>
      </c>
      <c r="K83" s="147">
        <v>8.4763711968959825</v>
      </c>
    </row>
    <row r="84" spans="3:11" hidden="1" x14ac:dyDescent="0.3">
      <c r="C84" s="146" t="s">
        <v>14</v>
      </c>
      <c r="D84" s="104" t="s">
        <v>25</v>
      </c>
      <c r="E84" s="104" t="s">
        <v>70</v>
      </c>
      <c r="F84" s="104">
        <v>7387</v>
      </c>
      <c r="G84" s="104">
        <f t="shared" si="3"/>
        <v>2587</v>
      </c>
      <c r="H84" s="104">
        <v>298</v>
      </c>
      <c r="I84" s="107">
        <f t="shared" si="1"/>
        <v>8.6812080536912752</v>
      </c>
      <c r="J84" s="104">
        <v>8.951637128266747E-2</v>
      </c>
      <c r="K84" s="147">
        <v>8.9074769775287379</v>
      </c>
    </row>
    <row r="85" spans="3:11" hidden="1" x14ac:dyDescent="0.3">
      <c r="C85" s="146" t="s">
        <v>64</v>
      </c>
      <c r="D85" s="104" t="s">
        <v>25</v>
      </c>
      <c r="E85" s="104" t="s">
        <v>70</v>
      </c>
      <c r="F85" s="104">
        <v>7991.2</v>
      </c>
      <c r="G85" s="104">
        <f t="shared" si="3"/>
        <v>604.19999999999982</v>
      </c>
      <c r="H85" s="104">
        <v>125</v>
      </c>
      <c r="I85" s="107">
        <f t="shared" si="1"/>
        <v>4.8335999999999988</v>
      </c>
      <c r="J85" s="104">
        <v>3.2358270774009837E-2</v>
      </c>
      <c r="K85" s="147">
        <v>8.9860962152179393</v>
      </c>
    </row>
    <row r="86" spans="3:11" hidden="1" x14ac:dyDescent="0.3">
      <c r="C86" s="146" t="s">
        <v>65</v>
      </c>
      <c r="D86" s="104" t="s">
        <v>25</v>
      </c>
      <c r="E86" s="104" t="s">
        <v>70</v>
      </c>
      <c r="F86" s="104">
        <v>6926.8082000000004</v>
      </c>
      <c r="G86" s="104">
        <f t="shared" si="3"/>
        <v>-1064.3917999999994</v>
      </c>
      <c r="H86" s="104">
        <v>78</v>
      </c>
      <c r="I86" s="107">
        <f t="shared" si="1"/>
        <v>-13.646048717948711</v>
      </c>
      <c r="J86" s="104">
        <v>1.8404907975460124E-2</v>
      </c>
      <c r="K86" s="147">
        <v>8.8431544088851144</v>
      </c>
    </row>
    <row r="87" spans="3:11" hidden="1" x14ac:dyDescent="0.3">
      <c r="C87" s="146" t="s">
        <v>66</v>
      </c>
      <c r="D87" s="104" t="s">
        <v>25</v>
      </c>
      <c r="E87" s="104" t="s">
        <v>70</v>
      </c>
      <c r="F87" s="104">
        <v>6438.8661000000002</v>
      </c>
      <c r="G87" s="104">
        <f t="shared" si="3"/>
        <v>-487.94210000000021</v>
      </c>
      <c r="H87" s="104">
        <v>20</v>
      </c>
      <c r="I87" s="107">
        <f t="shared" si="1"/>
        <v>-24.39710500000001</v>
      </c>
      <c r="J87" s="104">
        <v>4.3029259896729772E-3</v>
      </c>
      <c r="K87" s="147">
        <v>8.7701077321674337</v>
      </c>
    </row>
    <row r="88" spans="3:11" hidden="1" x14ac:dyDescent="0.3">
      <c r="C88" s="146" t="s">
        <v>181</v>
      </c>
      <c r="D88" s="104" t="s">
        <v>27</v>
      </c>
      <c r="E88" s="66" t="s">
        <v>71</v>
      </c>
      <c r="F88" s="104">
        <v>5200</v>
      </c>
      <c r="G88" s="104"/>
      <c r="H88" s="104">
        <v>92</v>
      </c>
      <c r="I88" s="107">
        <f t="shared" si="1"/>
        <v>0</v>
      </c>
      <c r="J88" s="104">
        <v>1.7999999999999999E-2</v>
      </c>
      <c r="K88" s="147">
        <v>8.5564139045695189</v>
      </c>
    </row>
    <row r="89" spans="3:11" hidden="1" x14ac:dyDescent="0.3">
      <c r="C89" s="146" t="s">
        <v>182</v>
      </c>
      <c r="D89" s="104" t="s">
        <v>27</v>
      </c>
      <c r="E89" s="66" t="s">
        <v>71</v>
      </c>
      <c r="F89" s="104">
        <v>8500</v>
      </c>
      <c r="G89" s="104">
        <f t="shared" si="3"/>
        <v>3300</v>
      </c>
      <c r="H89" s="104">
        <v>105</v>
      </c>
      <c r="I89" s="107">
        <f t="shared" si="1"/>
        <v>31.428571428571427</v>
      </c>
      <c r="J89" s="104">
        <v>0.02</v>
      </c>
      <c r="K89" s="147">
        <v>9.0478214424784085</v>
      </c>
    </row>
    <row r="90" spans="3:11" hidden="1" x14ac:dyDescent="0.3">
      <c r="C90" s="146" t="s">
        <v>183</v>
      </c>
      <c r="D90" s="104" t="s">
        <v>27</v>
      </c>
      <c r="E90" s="66" t="s">
        <v>71</v>
      </c>
      <c r="F90" s="104">
        <v>9800</v>
      </c>
      <c r="G90" s="104">
        <f t="shared" si="3"/>
        <v>1300</v>
      </c>
      <c r="H90" s="104">
        <v>118</v>
      </c>
      <c r="I90" s="107">
        <f t="shared" si="1"/>
        <v>11.016949152542374</v>
      </c>
      <c r="J90" s="104">
        <v>2.2499999999999999E-2</v>
      </c>
      <c r="K90" s="147">
        <v>9.1901376646586641</v>
      </c>
    </row>
    <row r="91" spans="3:11" hidden="1" x14ac:dyDescent="0.3">
      <c r="C91" s="146" t="s">
        <v>184</v>
      </c>
      <c r="D91" s="104" t="s">
        <v>27</v>
      </c>
      <c r="E91" s="66" t="s">
        <v>71</v>
      </c>
      <c r="F91" s="104">
        <v>7200</v>
      </c>
      <c r="G91" s="104">
        <f t="shared" si="3"/>
        <v>-2600</v>
      </c>
      <c r="H91" s="104">
        <v>130</v>
      </c>
      <c r="I91" s="107">
        <f t="shared" si="1"/>
        <v>-20</v>
      </c>
      <c r="J91" s="104">
        <v>2.4500000000000001E-2</v>
      </c>
      <c r="K91" s="147">
        <v>8.8818363050041462</v>
      </c>
    </row>
    <row r="92" spans="3:11" hidden="1" x14ac:dyDescent="0.3">
      <c r="C92" s="146" t="s">
        <v>185</v>
      </c>
      <c r="D92" s="104" t="s">
        <v>27</v>
      </c>
      <c r="E92" s="66" t="s">
        <v>71</v>
      </c>
      <c r="F92" s="104">
        <v>4500</v>
      </c>
      <c r="G92" s="104">
        <f t="shared" si="3"/>
        <v>-2700</v>
      </c>
      <c r="H92" s="104">
        <v>140</v>
      </c>
      <c r="I92" s="107">
        <f t="shared" si="1"/>
        <v>-19.285714285714285</v>
      </c>
      <c r="J92" s="104">
        <v>2.5499999999999998E-2</v>
      </c>
      <c r="K92" s="147">
        <v>8.4118326757584114</v>
      </c>
    </row>
    <row r="93" spans="3:11" hidden="1" x14ac:dyDescent="0.3">
      <c r="C93" s="146" t="s">
        <v>186</v>
      </c>
      <c r="D93" s="104" t="s">
        <v>27</v>
      </c>
      <c r="E93" s="66" t="s">
        <v>71</v>
      </c>
      <c r="F93" s="104">
        <v>4800</v>
      </c>
      <c r="G93" s="104">
        <f t="shared" si="3"/>
        <v>300</v>
      </c>
      <c r="H93" s="104">
        <v>152</v>
      </c>
      <c r="I93" s="107">
        <f t="shared" ref="I93:I156" si="4">G93/H93</f>
        <v>1.9736842105263157</v>
      </c>
      <c r="J93" s="104">
        <v>2.6200000000000001E-2</v>
      </c>
      <c r="K93" s="147">
        <v>8.4763711968959825</v>
      </c>
    </row>
    <row r="94" spans="3:11" hidden="1" x14ac:dyDescent="0.3">
      <c r="C94" s="146" t="s">
        <v>14</v>
      </c>
      <c r="D94" s="104" t="s">
        <v>27</v>
      </c>
      <c r="E94" s="66" t="s">
        <v>71</v>
      </c>
      <c r="F94" s="104">
        <v>6159</v>
      </c>
      <c r="G94" s="104">
        <f t="shared" si="3"/>
        <v>1359</v>
      </c>
      <c r="H94" s="104">
        <v>840</v>
      </c>
      <c r="I94" s="107">
        <f t="shared" si="4"/>
        <v>1.6178571428571429</v>
      </c>
      <c r="J94" s="104">
        <v>2.75E-2</v>
      </c>
      <c r="K94" s="147">
        <v>8.7256697056870429</v>
      </c>
    </row>
    <row r="95" spans="3:11" hidden="1" x14ac:dyDescent="0.3">
      <c r="C95" s="146" t="s">
        <v>64</v>
      </c>
      <c r="D95" s="104" t="s">
        <v>27</v>
      </c>
      <c r="E95" s="66" t="s">
        <v>71</v>
      </c>
      <c r="F95" s="104">
        <v>8779</v>
      </c>
      <c r="G95" s="104">
        <f t="shared" si="3"/>
        <v>2620</v>
      </c>
      <c r="H95" s="104">
        <v>1050</v>
      </c>
      <c r="I95" s="107">
        <f t="shared" si="4"/>
        <v>2.4952380952380953</v>
      </c>
      <c r="J95" s="104">
        <v>3.1099999999999999E-2</v>
      </c>
      <c r="K95" s="147">
        <v>9.0801177849262089</v>
      </c>
    </row>
    <row r="96" spans="3:11" hidden="1" x14ac:dyDescent="0.3">
      <c r="C96" s="146" t="s">
        <v>65</v>
      </c>
      <c r="D96" s="104" t="s">
        <v>27</v>
      </c>
      <c r="E96" s="66" t="s">
        <v>71</v>
      </c>
      <c r="F96" s="104">
        <v>14061</v>
      </c>
      <c r="G96" s="104">
        <f t="shared" si="3"/>
        <v>5282</v>
      </c>
      <c r="H96" s="104">
        <v>1250</v>
      </c>
      <c r="I96" s="107">
        <f t="shared" si="4"/>
        <v>4.2256</v>
      </c>
      <c r="J96" s="104">
        <v>3.5700000000000003E-2</v>
      </c>
      <c r="K96" s="147">
        <v>9.5511602865908163</v>
      </c>
    </row>
    <row r="97" spans="3:11" hidden="1" x14ac:dyDescent="0.3">
      <c r="C97" s="146" t="s">
        <v>66</v>
      </c>
      <c r="D97" s="104" t="s">
        <v>27</v>
      </c>
      <c r="E97" s="66" t="s">
        <v>71</v>
      </c>
      <c r="F97" s="104">
        <v>22110</v>
      </c>
      <c r="G97" s="104">
        <f t="shared" si="3"/>
        <v>8049</v>
      </c>
      <c r="H97" s="104">
        <v>1320</v>
      </c>
      <c r="I97" s="107">
        <f t="shared" si="4"/>
        <v>6.0977272727272727</v>
      </c>
      <c r="J97" s="104">
        <v>3.8100000000000002E-2</v>
      </c>
      <c r="K97" s="147">
        <v>10.003785273851491</v>
      </c>
    </row>
    <row r="98" spans="3:11" hidden="1" x14ac:dyDescent="0.3">
      <c r="C98" s="146" t="s">
        <v>181</v>
      </c>
      <c r="D98" s="104" t="s">
        <v>29</v>
      </c>
      <c r="E98" s="104" t="s">
        <v>70</v>
      </c>
      <c r="F98" s="104">
        <v>1850</v>
      </c>
      <c r="G98" s="104"/>
      <c r="H98" s="104">
        <v>210</v>
      </c>
      <c r="I98" s="107">
        <f t="shared" si="4"/>
        <v>0</v>
      </c>
      <c r="J98" s="104">
        <v>3.4200000000000001E-2</v>
      </c>
      <c r="K98" s="147">
        <v>7.5229409180723703</v>
      </c>
    </row>
    <row r="99" spans="3:11" hidden="1" x14ac:dyDescent="0.3">
      <c r="C99" s="146" t="s">
        <v>182</v>
      </c>
      <c r="D99" s="104" t="s">
        <v>29</v>
      </c>
      <c r="E99" s="104" t="s">
        <v>70</v>
      </c>
      <c r="F99" s="104">
        <v>2100</v>
      </c>
      <c r="G99" s="104">
        <f t="shared" si="3"/>
        <v>250</v>
      </c>
      <c r="H99" s="104">
        <v>238</v>
      </c>
      <c r="I99" s="107">
        <f t="shared" si="4"/>
        <v>1.0504201680672269</v>
      </c>
      <c r="J99" s="104">
        <v>3.6799999999999999E-2</v>
      </c>
      <c r="K99" s="147">
        <v>7.6496926237115144</v>
      </c>
    </row>
    <row r="100" spans="3:11" hidden="1" x14ac:dyDescent="0.3">
      <c r="C100" s="146" t="s">
        <v>183</v>
      </c>
      <c r="D100" s="104" t="s">
        <v>29</v>
      </c>
      <c r="E100" s="104" t="s">
        <v>70</v>
      </c>
      <c r="F100" s="104">
        <v>2450</v>
      </c>
      <c r="G100" s="104">
        <f t="shared" si="3"/>
        <v>350</v>
      </c>
      <c r="H100" s="104">
        <v>268</v>
      </c>
      <c r="I100" s="107">
        <f t="shared" si="4"/>
        <v>1.3059701492537314</v>
      </c>
      <c r="J100" s="104">
        <v>3.95E-2</v>
      </c>
      <c r="K100" s="147">
        <v>7.8038433035387724</v>
      </c>
    </row>
    <row r="101" spans="3:11" hidden="1" x14ac:dyDescent="0.3">
      <c r="C101" s="146" t="s">
        <v>184</v>
      </c>
      <c r="D101" s="104" t="s">
        <v>29</v>
      </c>
      <c r="E101" s="104" t="s">
        <v>70</v>
      </c>
      <c r="F101" s="104">
        <v>3800</v>
      </c>
      <c r="G101" s="104">
        <f t="shared" si="3"/>
        <v>1350</v>
      </c>
      <c r="H101" s="104">
        <v>298</v>
      </c>
      <c r="I101" s="107">
        <f t="shared" si="4"/>
        <v>4.5302013422818792</v>
      </c>
      <c r="J101" s="104">
        <v>4.2000000000000003E-2</v>
      </c>
      <c r="K101" s="147">
        <v>8.2427563457144775</v>
      </c>
    </row>
    <row r="102" spans="3:11" hidden="1" x14ac:dyDescent="0.3">
      <c r="C102" s="146" t="s">
        <v>185</v>
      </c>
      <c r="D102" s="104" t="s">
        <v>29</v>
      </c>
      <c r="E102" s="104" t="s">
        <v>70</v>
      </c>
      <c r="F102" s="104">
        <v>2200</v>
      </c>
      <c r="G102" s="104">
        <f t="shared" si="3"/>
        <v>-1600</v>
      </c>
      <c r="H102" s="104">
        <v>318</v>
      </c>
      <c r="I102" s="107">
        <f t="shared" si="4"/>
        <v>-5.0314465408805029</v>
      </c>
      <c r="J102" s="104">
        <v>4.3499999999999997E-2</v>
      </c>
      <c r="K102" s="147">
        <v>7.696212639346407</v>
      </c>
    </row>
    <row r="103" spans="3:11" hidden="1" x14ac:dyDescent="0.3">
      <c r="C103" s="146" t="s">
        <v>186</v>
      </c>
      <c r="D103" s="104" t="s">
        <v>29</v>
      </c>
      <c r="E103" s="104" t="s">
        <v>70</v>
      </c>
      <c r="F103" s="104">
        <v>2600</v>
      </c>
      <c r="G103" s="104">
        <f t="shared" si="3"/>
        <v>400</v>
      </c>
      <c r="H103" s="104">
        <v>328</v>
      </c>
      <c r="I103" s="107">
        <f t="shared" si="4"/>
        <v>1.2195121951219512</v>
      </c>
      <c r="J103" s="104">
        <v>4.48E-2</v>
      </c>
      <c r="K103" s="147">
        <v>7.8632667240095735</v>
      </c>
    </row>
    <row r="104" spans="3:11" hidden="1" x14ac:dyDescent="0.3">
      <c r="C104" s="146" t="s">
        <v>14</v>
      </c>
      <c r="D104" s="104" t="s">
        <v>29</v>
      </c>
      <c r="E104" s="104" t="s">
        <v>70</v>
      </c>
      <c r="F104" s="104">
        <v>3126</v>
      </c>
      <c r="G104" s="104">
        <f t="shared" ref="G104:G167" si="5">F104-F103</f>
        <v>526</v>
      </c>
      <c r="H104" s="104">
        <v>338</v>
      </c>
      <c r="I104" s="107">
        <f t="shared" si="4"/>
        <v>1.5562130177514792</v>
      </c>
      <c r="J104" s="104">
        <v>4.8599999999999997E-2</v>
      </c>
      <c r="K104" s="147">
        <v>8.0475095109814223</v>
      </c>
    </row>
    <row r="105" spans="3:11" hidden="1" x14ac:dyDescent="0.3">
      <c r="C105" s="146" t="s">
        <v>64</v>
      </c>
      <c r="D105" s="104" t="s">
        <v>29</v>
      </c>
      <c r="E105" s="104" t="s">
        <v>70</v>
      </c>
      <c r="F105" s="104">
        <v>5070</v>
      </c>
      <c r="G105" s="104">
        <f t="shared" si="5"/>
        <v>1944</v>
      </c>
      <c r="H105" s="104">
        <v>435</v>
      </c>
      <c r="I105" s="107">
        <f t="shared" si="4"/>
        <v>4.4689655172413794</v>
      </c>
      <c r="J105" s="104">
        <v>5.67E-2</v>
      </c>
      <c r="K105" s="147">
        <v>8.5310960965852285</v>
      </c>
    </row>
    <row r="106" spans="3:11" hidden="1" x14ac:dyDescent="0.3">
      <c r="C106" s="146" t="s">
        <v>65</v>
      </c>
      <c r="D106" s="104" t="s">
        <v>29</v>
      </c>
      <c r="E106" s="104" t="s">
        <v>70</v>
      </c>
      <c r="F106" s="104">
        <v>7698</v>
      </c>
      <c r="G106" s="104">
        <f t="shared" si="5"/>
        <v>2628</v>
      </c>
      <c r="H106" s="104">
        <v>481</v>
      </c>
      <c r="I106" s="107">
        <f t="shared" si="4"/>
        <v>5.4636174636174637</v>
      </c>
      <c r="J106" s="104">
        <v>6.4100000000000004E-2</v>
      </c>
      <c r="K106" s="147">
        <v>8.948715833843691</v>
      </c>
    </row>
    <row r="107" spans="3:11" hidden="1" x14ac:dyDescent="0.3">
      <c r="C107" s="146" t="s">
        <v>66</v>
      </c>
      <c r="D107" s="104" t="s">
        <v>29</v>
      </c>
      <c r="E107" s="104" t="s">
        <v>70</v>
      </c>
      <c r="F107" s="104">
        <v>6800</v>
      </c>
      <c r="G107" s="104">
        <f t="shared" si="5"/>
        <v>-898</v>
      </c>
      <c r="H107" s="104">
        <v>500</v>
      </c>
      <c r="I107" s="107">
        <f t="shared" si="4"/>
        <v>-1.796</v>
      </c>
      <c r="J107" s="104">
        <v>6.3500000000000001E-2</v>
      </c>
      <c r="K107" s="147">
        <v>8.8246778911641979</v>
      </c>
    </row>
    <row r="108" spans="3:11" hidden="1" x14ac:dyDescent="0.3">
      <c r="C108" s="146" t="s">
        <v>181</v>
      </c>
      <c r="D108" s="104" t="s">
        <v>31</v>
      </c>
      <c r="E108" s="104" t="s">
        <v>70</v>
      </c>
      <c r="F108" s="104">
        <v>800</v>
      </c>
      <c r="G108" s="104"/>
      <c r="H108" s="104">
        <v>210</v>
      </c>
      <c r="I108" s="107">
        <f t="shared" si="4"/>
        <v>0</v>
      </c>
      <c r="J108" s="104">
        <v>3.85E-2</v>
      </c>
      <c r="K108" s="147">
        <v>6.6846117276679271</v>
      </c>
    </row>
    <row r="109" spans="3:11" hidden="1" x14ac:dyDescent="0.3">
      <c r="C109" s="146" t="s">
        <v>182</v>
      </c>
      <c r="D109" s="104" t="s">
        <v>31</v>
      </c>
      <c r="E109" s="104" t="s">
        <v>70</v>
      </c>
      <c r="F109" s="104">
        <v>1050</v>
      </c>
      <c r="G109" s="104">
        <f t="shared" si="5"/>
        <v>250</v>
      </c>
      <c r="H109" s="104">
        <v>268</v>
      </c>
      <c r="I109" s="107">
        <f t="shared" si="4"/>
        <v>0.93283582089552242</v>
      </c>
      <c r="J109" s="104">
        <v>4.2000000000000003E-2</v>
      </c>
      <c r="K109" s="147">
        <v>6.956545443151569</v>
      </c>
    </row>
    <row r="110" spans="3:11" hidden="1" x14ac:dyDescent="0.3">
      <c r="C110" s="146" t="s">
        <v>183</v>
      </c>
      <c r="D110" s="104" t="s">
        <v>31</v>
      </c>
      <c r="E110" s="104" t="s">
        <v>70</v>
      </c>
      <c r="F110" s="104">
        <v>1480</v>
      </c>
      <c r="G110" s="104">
        <f t="shared" si="5"/>
        <v>430</v>
      </c>
      <c r="H110" s="104">
        <v>328</v>
      </c>
      <c r="I110" s="107">
        <f t="shared" si="4"/>
        <v>1.3109756097560976</v>
      </c>
      <c r="J110" s="104">
        <v>4.6199999999999998E-2</v>
      </c>
      <c r="K110" s="147">
        <v>7.2997973667581606</v>
      </c>
    </row>
    <row r="111" spans="3:11" hidden="1" x14ac:dyDescent="0.3">
      <c r="C111" s="146" t="s">
        <v>184</v>
      </c>
      <c r="D111" s="104" t="s">
        <v>31</v>
      </c>
      <c r="E111" s="104" t="s">
        <v>70</v>
      </c>
      <c r="F111" s="104">
        <v>2200</v>
      </c>
      <c r="G111" s="104">
        <f t="shared" si="5"/>
        <v>720</v>
      </c>
      <c r="H111" s="104">
        <v>392</v>
      </c>
      <c r="I111" s="107">
        <f t="shared" si="4"/>
        <v>1.8367346938775511</v>
      </c>
      <c r="J111" s="104">
        <v>4.9799999999999997E-2</v>
      </c>
      <c r="K111" s="147">
        <v>7.696212639346407</v>
      </c>
    </row>
    <row r="112" spans="3:11" hidden="1" x14ac:dyDescent="0.3">
      <c r="C112" s="146" t="s">
        <v>185</v>
      </c>
      <c r="D112" s="104" t="s">
        <v>31</v>
      </c>
      <c r="E112" s="104" t="s">
        <v>70</v>
      </c>
      <c r="F112" s="104">
        <v>2800</v>
      </c>
      <c r="G112" s="104">
        <f t="shared" si="5"/>
        <v>600</v>
      </c>
      <c r="H112" s="104">
        <v>435</v>
      </c>
      <c r="I112" s="107">
        <f t="shared" si="4"/>
        <v>1.3793103448275863</v>
      </c>
      <c r="J112" s="104">
        <v>5.2200000000000003E-2</v>
      </c>
      <c r="K112" s="147">
        <v>7.9373746961632952</v>
      </c>
    </row>
    <row r="113" spans="3:11" hidden="1" x14ac:dyDescent="0.3">
      <c r="C113" s="146" t="s">
        <v>186</v>
      </c>
      <c r="D113" s="104" t="s">
        <v>31</v>
      </c>
      <c r="E113" s="104" t="s">
        <v>70</v>
      </c>
      <c r="F113" s="104">
        <v>4800</v>
      </c>
      <c r="G113" s="104">
        <f t="shared" si="5"/>
        <v>2000</v>
      </c>
      <c r="H113" s="104">
        <v>458</v>
      </c>
      <c r="I113" s="107">
        <f t="shared" si="4"/>
        <v>4.3668122270742362</v>
      </c>
      <c r="J113" s="104">
        <v>5.4800000000000001E-2</v>
      </c>
      <c r="K113" s="147">
        <v>8.4763711968959825</v>
      </c>
    </row>
    <row r="114" spans="3:11" hidden="1" x14ac:dyDescent="0.3">
      <c r="C114" s="146" t="s">
        <v>14</v>
      </c>
      <c r="D114" s="104" t="s">
        <v>31</v>
      </c>
      <c r="E114" s="104" t="s">
        <v>70</v>
      </c>
      <c r="F114" s="104">
        <v>14969.16</v>
      </c>
      <c r="G114" s="104">
        <f t="shared" si="5"/>
        <v>10169.16</v>
      </c>
      <c r="H114" s="104">
        <v>483</v>
      </c>
      <c r="I114" s="107">
        <f t="shared" si="4"/>
        <v>21.054161490683228</v>
      </c>
      <c r="J114" s="104">
        <v>5.7700000000000001E-2</v>
      </c>
      <c r="K114" s="147">
        <v>9.6137473636148751</v>
      </c>
    </row>
    <row r="115" spans="3:11" hidden="1" x14ac:dyDescent="0.3">
      <c r="C115" s="146" t="s">
        <v>64</v>
      </c>
      <c r="D115" s="104" t="s">
        <v>31</v>
      </c>
      <c r="E115" s="104" t="s">
        <v>70</v>
      </c>
      <c r="F115" s="104">
        <v>9708.68</v>
      </c>
      <c r="G115" s="104">
        <f t="shared" si="5"/>
        <v>-5260.48</v>
      </c>
      <c r="H115" s="104">
        <v>673</v>
      </c>
      <c r="I115" s="107">
        <f t="shared" si="4"/>
        <v>-7.8164635958395241</v>
      </c>
      <c r="J115" s="104">
        <v>6.3600000000000004E-2</v>
      </c>
      <c r="K115" s="147">
        <v>9.1807756097168767</v>
      </c>
    </row>
    <row r="116" spans="3:11" hidden="1" x14ac:dyDescent="0.3">
      <c r="C116" s="146" t="s">
        <v>65</v>
      </c>
      <c r="D116" s="104" t="s">
        <v>31</v>
      </c>
      <c r="E116" s="104" t="s">
        <v>70</v>
      </c>
      <c r="F116" s="104">
        <v>12648.36</v>
      </c>
      <c r="G116" s="104">
        <f t="shared" si="5"/>
        <v>2939.6800000000003</v>
      </c>
      <c r="H116" s="104">
        <v>695</v>
      </c>
      <c r="I116" s="107">
        <f t="shared" si="4"/>
        <v>4.2297553956834539</v>
      </c>
      <c r="J116" s="104">
        <v>7.3975518893028211E-2</v>
      </c>
      <c r="K116" s="147">
        <v>9.4452828414823475</v>
      </c>
    </row>
    <row r="117" spans="3:11" hidden="1" x14ac:dyDescent="0.3">
      <c r="C117" s="146" t="s">
        <v>66</v>
      </c>
      <c r="D117" s="104" t="s">
        <v>31</v>
      </c>
      <c r="E117" s="104" t="s">
        <v>70</v>
      </c>
      <c r="F117" s="104">
        <v>10047.129999999999</v>
      </c>
      <c r="G117" s="104">
        <f t="shared" si="5"/>
        <v>-2601.2300000000014</v>
      </c>
      <c r="H117" s="104">
        <v>720</v>
      </c>
      <c r="I117" s="107">
        <f t="shared" si="4"/>
        <v>-3.6128194444444466</v>
      </c>
      <c r="J117" s="104">
        <v>7.3401977775512287E-2</v>
      </c>
      <c r="K117" s="147">
        <v>9.2150423005644306</v>
      </c>
    </row>
    <row r="118" spans="3:11" hidden="1" x14ac:dyDescent="0.3">
      <c r="C118" s="146" t="s">
        <v>181</v>
      </c>
      <c r="D118" s="104" t="s">
        <v>32</v>
      </c>
      <c r="E118" s="104" t="s">
        <v>71</v>
      </c>
      <c r="F118" s="104">
        <v>2800</v>
      </c>
      <c r="G118" s="104"/>
      <c r="H118" s="104">
        <v>145</v>
      </c>
      <c r="I118" s="107">
        <f t="shared" si="4"/>
        <v>0</v>
      </c>
      <c r="J118" s="104">
        <v>1.6199999999999999E-2</v>
      </c>
      <c r="K118" s="147">
        <v>7.9373746961632952</v>
      </c>
    </row>
    <row r="119" spans="3:11" hidden="1" x14ac:dyDescent="0.3">
      <c r="C119" s="146" t="s">
        <v>182</v>
      </c>
      <c r="D119" s="104" t="s">
        <v>32</v>
      </c>
      <c r="E119" s="104" t="s">
        <v>71</v>
      </c>
      <c r="F119" s="104">
        <v>3500</v>
      </c>
      <c r="G119" s="104">
        <f t="shared" si="5"/>
        <v>700</v>
      </c>
      <c r="H119" s="104">
        <v>162</v>
      </c>
      <c r="I119" s="107">
        <f t="shared" si="4"/>
        <v>4.3209876543209873</v>
      </c>
      <c r="J119" s="104">
        <v>1.7500000000000002E-2</v>
      </c>
      <c r="K119" s="147">
        <v>8.1605182474775049</v>
      </c>
    </row>
    <row r="120" spans="3:11" hidden="1" x14ac:dyDescent="0.3">
      <c r="C120" s="146" t="s">
        <v>183</v>
      </c>
      <c r="D120" s="104" t="s">
        <v>32</v>
      </c>
      <c r="E120" s="104" t="s">
        <v>71</v>
      </c>
      <c r="F120" s="104">
        <v>5200</v>
      </c>
      <c r="G120" s="104">
        <f t="shared" si="5"/>
        <v>1700</v>
      </c>
      <c r="H120" s="104">
        <v>180</v>
      </c>
      <c r="I120" s="107">
        <f t="shared" si="4"/>
        <v>9.4444444444444446</v>
      </c>
      <c r="J120" s="104">
        <v>1.8800000000000001E-2</v>
      </c>
      <c r="K120" s="147">
        <v>8.5564139045695189</v>
      </c>
    </row>
    <row r="121" spans="3:11" hidden="1" x14ac:dyDescent="0.3">
      <c r="C121" s="146" t="s">
        <v>184</v>
      </c>
      <c r="D121" s="104" t="s">
        <v>32</v>
      </c>
      <c r="E121" s="104" t="s">
        <v>71</v>
      </c>
      <c r="F121" s="104">
        <v>6200</v>
      </c>
      <c r="G121" s="104">
        <f t="shared" si="5"/>
        <v>1000</v>
      </c>
      <c r="H121" s="104">
        <v>198</v>
      </c>
      <c r="I121" s="107">
        <f t="shared" si="4"/>
        <v>5.0505050505050502</v>
      </c>
      <c r="J121" s="104">
        <v>1.9800000000000002E-2</v>
      </c>
      <c r="K121" s="147">
        <v>8.7323045710331826</v>
      </c>
    </row>
    <row r="122" spans="3:11" hidden="1" x14ac:dyDescent="0.3">
      <c r="C122" s="146" t="s">
        <v>185</v>
      </c>
      <c r="D122" s="104" t="s">
        <v>32</v>
      </c>
      <c r="E122" s="104" t="s">
        <v>71</v>
      </c>
      <c r="F122" s="104">
        <v>2800</v>
      </c>
      <c r="G122" s="104">
        <f t="shared" si="5"/>
        <v>-3400</v>
      </c>
      <c r="H122" s="104">
        <v>205</v>
      </c>
      <c r="I122" s="107">
        <f t="shared" si="4"/>
        <v>-16.585365853658537</v>
      </c>
      <c r="J122" s="104">
        <v>2.0199999999999999E-2</v>
      </c>
      <c r="K122" s="147">
        <v>7.9373746961632952</v>
      </c>
    </row>
    <row r="123" spans="3:11" hidden="1" x14ac:dyDescent="0.3">
      <c r="C123" s="146" t="s">
        <v>186</v>
      </c>
      <c r="D123" s="104" t="s">
        <v>32</v>
      </c>
      <c r="E123" s="104" t="s">
        <v>71</v>
      </c>
      <c r="F123" s="104">
        <v>4200</v>
      </c>
      <c r="G123" s="104">
        <f t="shared" si="5"/>
        <v>1400</v>
      </c>
      <c r="H123" s="104">
        <v>210</v>
      </c>
      <c r="I123" s="107">
        <f t="shared" si="4"/>
        <v>6.666666666666667</v>
      </c>
      <c r="J123" s="104">
        <v>2.0799999999999999E-2</v>
      </c>
      <c r="K123" s="147">
        <v>8.3428398042714598</v>
      </c>
    </row>
    <row r="124" spans="3:11" hidden="1" x14ac:dyDescent="0.3">
      <c r="C124" s="146" t="s">
        <v>14</v>
      </c>
      <c r="D124" s="104" t="s">
        <v>32</v>
      </c>
      <c r="E124" s="104" t="s">
        <v>71</v>
      </c>
      <c r="F124" s="104">
        <v>7530</v>
      </c>
      <c r="G124" s="104">
        <f t="shared" si="5"/>
        <v>3330</v>
      </c>
      <c r="H124" s="104">
        <v>218</v>
      </c>
      <c r="I124" s="107">
        <f t="shared" si="4"/>
        <v>15.275229357798166</v>
      </c>
      <c r="J124" s="104">
        <v>1.5079200387355607E-2</v>
      </c>
      <c r="K124" s="147">
        <v>8.9266503207939394</v>
      </c>
    </row>
    <row r="125" spans="3:11" hidden="1" x14ac:dyDescent="0.3">
      <c r="C125" s="146" t="s">
        <v>64</v>
      </c>
      <c r="D125" s="104" t="s">
        <v>32</v>
      </c>
      <c r="E125" s="104" t="s">
        <v>71</v>
      </c>
      <c r="F125" s="104">
        <v>13726</v>
      </c>
      <c r="G125" s="104">
        <f t="shared" si="5"/>
        <v>6196</v>
      </c>
      <c r="H125" s="104">
        <v>346.95</v>
      </c>
      <c r="I125" s="107">
        <f t="shared" si="4"/>
        <v>17.858481049142529</v>
      </c>
      <c r="J125" s="104">
        <v>2.0963746223564953E-2</v>
      </c>
      <c r="K125" s="147">
        <v>9.5270471234685807</v>
      </c>
    </row>
    <row r="126" spans="3:11" hidden="1" x14ac:dyDescent="0.3">
      <c r="C126" s="146" t="s">
        <v>65</v>
      </c>
      <c r="D126" s="104" t="s">
        <v>32</v>
      </c>
      <c r="E126" s="104" t="s">
        <v>71</v>
      </c>
      <c r="F126" s="104">
        <v>17321</v>
      </c>
      <c r="G126" s="104">
        <f t="shared" si="5"/>
        <v>3595</v>
      </c>
      <c r="H126" s="104">
        <v>258.18</v>
      </c>
      <c r="I126" s="107">
        <f t="shared" si="4"/>
        <v>13.924393833759392</v>
      </c>
      <c r="J126" s="104">
        <v>1.426645300326021E-2</v>
      </c>
      <c r="K126" s="147">
        <v>9.7596749171702797</v>
      </c>
    </row>
    <row r="127" spans="3:11" hidden="1" x14ac:dyDescent="0.3">
      <c r="C127" s="146" t="s">
        <v>66</v>
      </c>
      <c r="D127" s="104" t="s">
        <v>32</v>
      </c>
      <c r="E127" s="104" t="s">
        <v>71</v>
      </c>
      <c r="F127" s="104">
        <v>15500</v>
      </c>
      <c r="G127" s="104">
        <f t="shared" si="5"/>
        <v>-1821</v>
      </c>
      <c r="H127" s="104">
        <v>319.51</v>
      </c>
      <c r="I127" s="107">
        <f t="shared" si="4"/>
        <v>-5.6993521329535852</v>
      </c>
      <c r="J127" s="104">
        <v>1.5210416071598591E-2</v>
      </c>
      <c r="K127" s="147">
        <v>9.6485953029073386</v>
      </c>
    </row>
    <row r="128" spans="3:11" hidden="1" x14ac:dyDescent="0.3">
      <c r="C128" s="146" t="s">
        <v>181</v>
      </c>
      <c r="D128" s="104" t="s">
        <v>34</v>
      </c>
      <c r="E128" s="104" t="s">
        <v>69</v>
      </c>
      <c r="F128" s="104">
        <v>9200</v>
      </c>
      <c r="G128" s="104"/>
      <c r="H128" s="104">
        <v>1200</v>
      </c>
      <c r="I128" s="107">
        <f t="shared" si="4"/>
        <v>0</v>
      </c>
      <c r="J128" s="104">
        <v>5.8200000000000002E-2</v>
      </c>
      <c r="K128" s="147">
        <v>9.1269587630371323</v>
      </c>
    </row>
    <row r="129" spans="3:11" hidden="1" x14ac:dyDescent="0.3">
      <c r="C129" s="146" t="s">
        <v>182</v>
      </c>
      <c r="D129" s="104" t="s">
        <v>34</v>
      </c>
      <c r="E129" s="104" t="s">
        <v>69</v>
      </c>
      <c r="F129" s="104">
        <v>10500</v>
      </c>
      <c r="G129" s="104">
        <f t="shared" si="5"/>
        <v>1300</v>
      </c>
      <c r="H129" s="104">
        <v>1350</v>
      </c>
      <c r="I129" s="107">
        <f t="shared" si="4"/>
        <v>0.96296296296296291</v>
      </c>
      <c r="J129" s="104">
        <v>6.1800000000000001E-2</v>
      </c>
      <c r="K129" s="147">
        <v>9.259130536145614</v>
      </c>
    </row>
    <row r="130" spans="3:11" hidden="1" x14ac:dyDescent="0.3">
      <c r="C130" s="146" t="s">
        <v>183</v>
      </c>
      <c r="D130" s="104" t="s">
        <v>34</v>
      </c>
      <c r="E130" s="104" t="s">
        <v>69</v>
      </c>
      <c r="F130" s="104">
        <v>11800</v>
      </c>
      <c r="G130" s="104">
        <f t="shared" si="5"/>
        <v>1300</v>
      </c>
      <c r="H130" s="104">
        <v>1500</v>
      </c>
      <c r="I130" s="107">
        <f t="shared" si="4"/>
        <v>0.8666666666666667</v>
      </c>
      <c r="J130" s="104">
        <v>6.5199999999999994E-2</v>
      </c>
      <c r="K130" s="147">
        <v>9.375854810453756</v>
      </c>
    </row>
    <row r="131" spans="3:11" hidden="1" x14ac:dyDescent="0.3">
      <c r="C131" s="146" t="s">
        <v>184</v>
      </c>
      <c r="D131" s="104" t="s">
        <v>34</v>
      </c>
      <c r="E131" s="104" t="s">
        <v>69</v>
      </c>
      <c r="F131" s="104">
        <v>13200</v>
      </c>
      <c r="G131" s="104">
        <f t="shared" si="5"/>
        <v>1400</v>
      </c>
      <c r="H131" s="104">
        <v>1680</v>
      </c>
      <c r="I131" s="107">
        <f t="shared" si="4"/>
        <v>0.83333333333333337</v>
      </c>
      <c r="J131" s="104">
        <v>6.88E-2</v>
      </c>
      <c r="K131" s="147">
        <v>9.4879721085744624</v>
      </c>
    </row>
    <row r="132" spans="3:11" hidden="1" x14ac:dyDescent="0.3">
      <c r="C132" s="146" t="s">
        <v>185</v>
      </c>
      <c r="D132" s="104" t="s">
        <v>34</v>
      </c>
      <c r="E132" s="104" t="s">
        <v>69</v>
      </c>
      <c r="F132" s="104">
        <v>10500</v>
      </c>
      <c r="G132" s="104">
        <f t="shared" si="5"/>
        <v>-2700</v>
      </c>
      <c r="H132" s="104">
        <v>1800</v>
      </c>
      <c r="I132" s="107">
        <f t="shared" si="4"/>
        <v>-1.5</v>
      </c>
      <c r="J132" s="104">
        <v>7.1199999999999999E-2</v>
      </c>
      <c r="K132" s="147">
        <v>9.259130536145614</v>
      </c>
    </row>
    <row r="133" spans="3:11" hidden="1" x14ac:dyDescent="0.3">
      <c r="C133" s="146" t="s">
        <v>186</v>
      </c>
      <c r="D133" s="104" t="s">
        <v>34</v>
      </c>
      <c r="E133" s="104" t="s">
        <v>69</v>
      </c>
      <c r="F133" s="104">
        <v>15800</v>
      </c>
      <c r="G133" s="104">
        <f t="shared" si="5"/>
        <v>5300</v>
      </c>
      <c r="H133" s="104">
        <v>1850</v>
      </c>
      <c r="I133" s="107">
        <f t="shared" si="4"/>
        <v>2.8648648648648649</v>
      </c>
      <c r="J133" s="104">
        <v>7.2800000000000004E-2</v>
      </c>
      <c r="K133" s="147">
        <v>9.6677652190150578</v>
      </c>
    </row>
    <row r="134" spans="3:11" hidden="1" x14ac:dyDescent="0.3">
      <c r="C134" s="146" t="s">
        <v>14</v>
      </c>
      <c r="D134" s="104" t="s">
        <v>34</v>
      </c>
      <c r="E134" s="104" t="s">
        <v>69</v>
      </c>
      <c r="F134" s="104">
        <v>23642</v>
      </c>
      <c r="G134" s="104">
        <f t="shared" si="5"/>
        <v>7842</v>
      </c>
      <c r="H134" s="104">
        <v>1906</v>
      </c>
      <c r="I134" s="107">
        <f t="shared" si="4"/>
        <v>4.1143756558237143</v>
      </c>
      <c r="J134" s="104">
        <v>7.6172967788346257E-2</v>
      </c>
      <c r="K134" s="147">
        <v>10.070780070310322</v>
      </c>
    </row>
    <row r="135" spans="3:11" hidden="1" x14ac:dyDescent="0.3">
      <c r="C135" s="146" t="s">
        <v>64</v>
      </c>
      <c r="D135" s="104" t="s">
        <v>34</v>
      </c>
      <c r="E135" s="104" t="s">
        <v>69</v>
      </c>
      <c r="F135" s="104">
        <v>25587</v>
      </c>
      <c r="G135" s="104">
        <f t="shared" si="5"/>
        <v>1945</v>
      </c>
      <c r="H135" s="104">
        <v>2938</v>
      </c>
      <c r="I135" s="107">
        <f t="shared" si="4"/>
        <v>0.66201497617426819</v>
      </c>
      <c r="J135" s="104">
        <v>9.8228017385489808E-2</v>
      </c>
      <c r="K135" s="147">
        <v>10.149839688987219</v>
      </c>
    </row>
    <row r="136" spans="3:11" hidden="1" x14ac:dyDescent="0.3">
      <c r="C136" s="146" t="s">
        <v>65</v>
      </c>
      <c r="D136" s="104" t="s">
        <v>34</v>
      </c>
      <c r="E136" s="104" t="s">
        <v>69</v>
      </c>
      <c r="F136" s="104">
        <v>65112</v>
      </c>
      <c r="G136" s="104">
        <f t="shared" si="5"/>
        <v>39525</v>
      </c>
      <c r="H136" s="104">
        <v>3855</v>
      </c>
      <c r="I136" s="107">
        <f t="shared" si="4"/>
        <v>10.252918287937744</v>
      </c>
      <c r="J136" s="104">
        <v>0.11544681360804983</v>
      </c>
      <c r="K136" s="147">
        <v>11.083864143006878</v>
      </c>
    </row>
    <row r="137" spans="3:11" hidden="1" x14ac:dyDescent="0.3">
      <c r="C137" s="146" t="s">
        <v>66</v>
      </c>
      <c r="D137" s="104" t="s">
        <v>34</v>
      </c>
      <c r="E137" s="104" t="s">
        <v>69</v>
      </c>
      <c r="F137" s="104">
        <v>74948</v>
      </c>
      <c r="G137" s="104">
        <f t="shared" si="5"/>
        <v>9836</v>
      </c>
      <c r="H137" s="104">
        <v>4388</v>
      </c>
      <c r="I137" s="107">
        <f t="shared" si="4"/>
        <v>2.2415679124886054</v>
      </c>
      <c r="J137" s="104">
        <v>0.11997921964290596</v>
      </c>
      <c r="K137" s="147">
        <v>11.224549818718403</v>
      </c>
    </row>
    <row r="138" spans="3:11" hidden="1" x14ac:dyDescent="0.3">
      <c r="C138" s="146" t="s">
        <v>181</v>
      </c>
      <c r="D138" s="104" t="s">
        <v>36</v>
      </c>
      <c r="E138" s="104" t="s">
        <v>71</v>
      </c>
      <c r="F138" s="104">
        <v>2800</v>
      </c>
      <c r="G138" s="104"/>
      <c r="H138" s="104">
        <v>185</v>
      </c>
      <c r="I138" s="107">
        <f t="shared" si="4"/>
        <v>0</v>
      </c>
      <c r="J138" s="104">
        <v>1.95E-2</v>
      </c>
      <c r="K138" s="147">
        <v>7.9373746961632952</v>
      </c>
    </row>
    <row r="139" spans="3:11" hidden="1" x14ac:dyDescent="0.3">
      <c r="C139" s="146" t="s">
        <v>182</v>
      </c>
      <c r="D139" s="104" t="s">
        <v>36</v>
      </c>
      <c r="E139" s="104" t="s">
        <v>71</v>
      </c>
      <c r="F139" s="104">
        <v>3500</v>
      </c>
      <c r="G139" s="104">
        <f t="shared" si="5"/>
        <v>700</v>
      </c>
      <c r="H139" s="104">
        <v>208</v>
      </c>
      <c r="I139" s="107">
        <f t="shared" si="4"/>
        <v>3.3653846153846154</v>
      </c>
      <c r="J139" s="104">
        <v>2.1499999999999998E-2</v>
      </c>
      <c r="K139" s="147">
        <v>8.1605182474775049</v>
      </c>
    </row>
    <row r="140" spans="3:11" hidden="1" x14ac:dyDescent="0.3">
      <c r="C140" s="146" t="s">
        <v>183</v>
      </c>
      <c r="D140" s="104" t="s">
        <v>36</v>
      </c>
      <c r="E140" s="104" t="s">
        <v>71</v>
      </c>
      <c r="F140" s="104">
        <v>4200</v>
      </c>
      <c r="G140" s="104">
        <f t="shared" si="5"/>
        <v>700</v>
      </c>
      <c r="H140" s="104">
        <v>232</v>
      </c>
      <c r="I140" s="107">
        <f t="shared" si="4"/>
        <v>3.0172413793103448</v>
      </c>
      <c r="J140" s="104">
        <v>2.35E-2</v>
      </c>
      <c r="K140" s="147">
        <v>8.3428398042714598</v>
      </c>
    </row>
    <row r="141" spans="3:11" hidden="1" x14ac:dyDescent="0.3">
      <c r="C141" s="146" t="s">
        <v>184</v>
      </c>
      <c r="D141" s="104" t="s">
        <v>36</v>
      </c>
      <c r="E141" s="104" t="s">
        <v>71</v>
      </c>
      <c r="F141" s="104">
        <v>4800</v>
      </c>
      <c r="G141" s="104">
        <f t="shared" si="5"/>
        <v>600</v>
      </c>
      <c r="H141" s="104">
        <v>258</v>
      </c>
      <c r="I141" s="107">
        <f t="shared" si="4"/>
        <v>2.3255813953488373</v>
      </c>
      <c r="J141" s="104">
        <v>2.52E-2</v>
      </c>
      <c r="K141" s="147">
        <v>8.4763711968959825</v>
      </c>
    </row>
    <row r="142" spans="3:11" hidden="1" x14ac:dyDescent="0.3">
      <c r="C142" s="146" t="s">
        <v>185</v>
      </c>
      <c r="D142" s="104" t="s">
        <v>36</v>
      </c>
      <c r="E142" s="104" t="s">
        <v>71</v>
      </c>
      <c r="F142" s="104">
        <v>3200</v>
      </c>
      <c r="G142" s="104">
        <f t="shared" si="5"/>
        <v>-1600</v>
      </c>
      <c r="H142" s="104">
        <v>272</v>
      </c>
      <c r="I142" s="107">
        <f t="shared" si="4"/>
        <v>-5.882352941176471</v>
      </c>
      <c r="J142" s="104">
        <v>2.6200000000000001E-2</v>
      </c>
      <c r="K142" s="147">
        <v>8.0709060887878188</v>
      </c>
    </row>
    <row r="143" spans="3:11" hidden="1" x14ac:dyDescent="0.3">
      <c r="C143" s="146" t="s">
        <v>186</v>
      </c>
      <c r="D143" s="104" t="s">
        <v>36</v>
      </c>
      <c r="E143" s="104" t="s">
        <v>71</v>
      </c>
      <c r="F143" s="104">
        <v>3800</v>
      </c>
      <c r="G143" s="104">
        <f t="shared" si="5"/>
        <v>600</v>
      </c>
      <c r="H143" s="104">
        <v>285</v>
      </c>
      <c r="I143" s="107">
        <f t="shared" si="4"/>
        <v>2.1052631578947367</v>
      </c>
      <c r="J143" s="104">
        <v>2.7199999999999998E-2</v>
      </c>
      <c r="K143" s="147">
        <v>8.2427563457144775</v>
      </c>
    </row>
    <row r="144" spans="3:11" hidden="1" x14ac:dyDescent="0.3">
      <c r="C144" s="146" t="s">
        <v>14</v>
      </c>
      <c r="D144" s="104" t="s">
        <v>36</v>
      </c>
      <c r="E144" s="104" t="s">
        <v>71</v>
      </c>
      <c r="F144" s="104">
        <v>5460</v>
      </c>
      <c r="G144" s="104">
        <f t="shared" si="5"/>
        <v>1660</v>
      </c>
      <c r="H144" s="104">
        <v>308</v>
      </c>
      <c r="I144" s="107">
        <f t="shared" si="4"/>
        <v>5.3896103896103895</v>
      </c>
      <c r="J144" s="104">
        <v>1.5730337078651686E-2</v>
      </c>
      <c r="K144" s="147">
        <v>8.6052040687389511</v>
      </c>
    </row>
    <row r="145" spans="3:11" hidden="1" x14ac:dyDescent="0.3">
      <c r="C145" s="146" t="s">
        <v>64</v>
      </c>
      <c r="D145" s="104" t="s">
        <v>36</v>
      </c>
      <c r="E145" s="104" t="s">
        <v>71</v>
      </c>
      <c r="F145" s="104">
        <v>8692</v>
      </c>
      <c r="G145" s="104">
        <f t="shared" si="5"/>
        <v>3232</v>
      </c>
      <c r="H145" s="104">
        <v>743</v>
      </c>
      <c r="I145" s="107">
        <f t="shared" si="4"/>
        <v>4.3499327052489907</v>
      </c>
      <c r="J145" s="104">
        <v>4.3170065655685319E-2</v>
      </c>
      <c r="K145" s="147">
        <v>9.0701583413763203</v>
      </c>
    </row>
    <row r="146" spans="3:11" hidden="1" x14ac:dyDescent="0.3">
      <c r="C146" s="146" t="s">
        <v>65</v>
      </c>
      <c r="D146" s="104" t="s">
        <v>36</v>
      </c>
      <c r="E146" s="104" t="s">
        <v>71</v>
      </c>
      <c r="F146" s="104">
        <v>17379</v>
      </c>
      <c r="G146" s="104">
        <f t="shared" si="5"/>
        <v>8687</v>
      </c>
      <c r="H146" s="104">
        <v>305.95999999999998</v>
      </c>
      <c r="I146" s="107">
        <f t="shared" si="4"/>
        <v>28.392600339913717</v>
      </c>
      <c r="J146" s="104">
        <v>1.3883922493987384E-2</v>
      </c>
      <c r="K146" s="147">
        <v>9.7630178597647337</v>
      </c>
    </row>
    <row r="147" spans="3:11" hidden="1" x14ac:dyDescent="0.3">
      <c r="C147" s="146" t="s">
        <v>66</v>
      </c>
      <c r="D147" s="104" t="s">
        <v>36</v>
      </c>
      <c r="E147" s="104" t="s">
        <v>71</v>
      </c>
      <c r="F147" s="104">
        <v>16642</v>
      </c>
      <c r="G147" s="104">
        <f t="shared" si="5"/>
        <v>-737</v>
      </c>
      <c r="H147" s="104">
        <v>645</v>
      </c>
      <c r="I147" s="107">
        <f t="shared" si="4"/>
        <v>-1.1426356589147286</v>
      </c>
      <c r="J147" s="104">
        <v>2.5211069418386491E-2</v>
      </c>
      <c r="K147" s="147">
        <v>9.7196848994603755</v>
      </c>
    </row>
    <row r="148" spans="3:11" hidden="1" x14ac:dyDescent="0.3">
      <c r="C148" s="146" t="s">
        <v>181</v>
      </c>
      <c r="D148" s="104" t="s">
        <v>38</v>
      </c>
      <c r="E148" s="104" t="s">
        <v>59</v>
      </c>
      <c r="F148" s="104">
        <v>50000</v>
      </c>
      <c r="G148" s="104"/>
      <c r="H148" s="104">
        <v>2200</v>
      </c>
      <c r="I148" s="107">
        <f t="shared" si="4"/>
        <v>0</v>
      </c>
      <c r="J148" s="104">
        <v>4.5199999999999997E-2</v>
      </c>
      <c r="K148" s="147">
        <v>10.819778284410283</v>
      </c>
    </row>
    <row r="149" spans="3:11" hidden="1" x14ac:dyDescent="0.3">
      <c r="C149" s="146" t="s">
        <v>182</v>
      </c>
      <c r="D149" s="104" t="s">
        <v>38</v>
      </c>
      <c r="E149" s="104" t="s">
        <v>59</v>
      </c>
      <c r="F149" s="104">
        <v>60000</v>
      </c>
      <c r="G149" s="104">
        <f t="shared" si="5"/>
        <v>10000</v>
      </c>
      <c r="H149" s="104">
        <v>2580</v>
      </c>
      <c r="I149" s="107">
        <f t="shared" si="4"/>
        <v>3.8759689922480618</v>
      </c>
      <c r="J149" s="104">
        <v>4.8800000000000003E-2</v>
      </c>
      <c r="K149" s="147">
        <v>11.002099841204238</v>
      </c>
    </row>
    <row r="150" spans="3:11" hidden="1" x14ac:dyDescent="0.3">
      <c r="C150" s="146" t="s">
        <v>183</v>
      </c>
      <c r="D150" s="104" t="s">
        <v>38</v>
      </c>
      <c r="E150" s="104" t="s">
        <v>59</v>
      </c>
      <c r="F150" s="104">
        <v>80000</v>
      </c>
      <c r="G150" s="104">
        <f t="shared" si="5"/>
        <v>20000</v>
      </c>
      <c r="H150" s="104">
        <v>3050</v>
      </c>
      <c r="I150" s="107">
        <f t="shared" si="4"/>
        <v>6.557377049180328</v>
      </c>
      <c r="J150" s="104">
        <v>5.28E-2</v>
      </c>
      <c r="K150" s="147">
        <v>11.289781913656018</v>
      </c>
    </row>
    <row r="151" spans="3:11" hidden="1" x14ac:dyDescent="0.3">
      <c r="C151" s="146" t="s">
        <v>184</v>
      </c>
      <c r="D151" s="104" t="s">
        <v>38</v>
      </c>
      <c r="E151" s="104" t="s">
        <v>59</v>
      </c>
      <c r="F151" s="104">
        <v>95000</v>
      </c>
      <c r="G151" s="104">
        <f t="shared" si="5"/>
        <v>15000</v>
      </c>
      <c r="H151" s="104">
        <v>3480</v>
      </c>
      <c r="I151" s="107">
        <f t="shared" si="4"/>
        <v>4.3103448275862073</v>
      </c>
      <c r="J151" s="104">
        <v>5.5800000000000002E-2</v>
      </c>
      <c r="K151" s="147">
        <v>11.461632170582678</v>
      </c>
    </row>
    <row r="152" spans="3:11" hidden="1" x14ac:dyDescent="0.3">
      <c r="C152" s="146" t="s">
        <v>185</v>
      </c>
      <c r="D152" s="104" t="s">
        <v>38</v>
      </c>
      <c r="E152" s="104" t="s">
        <v>59</v>
      </c>
      <c r="F152" s="104">
        <v>75000</v>
      </c>
      <c r="G152" s="104">
        <f t="shared" si="5"/>
        <v>-20000</v>
      </c>
      <c r="H152" s="104">
        <v>3680</v>
      </c>
      <c r="I152" s="107">
        <f t="shared" si="4"/>
        <v>-5.4347826086956523</v>
      </c>
      <c r="J152" s="104">
        <v>5.7200000000000001E-2</v>
      </c>
      <c r="K152" s="147">
        <v>11.225243392518447</v>
      </c>
    </row>
    <row r="153" spans="3:11" hidden="1" x14ac:dyDescent="0.3">
      <c r="C153" s="146" t="s">
        <v>186</v>
      </c>
      <c r="D153" s="104" t="s">
        <v>38</v>
      </c>
      <c r="E153" s="104" t="s">
        <v>59</v>
      </c>
      <c r="F153" s="104">
        <v>100000</v>
      </c>
      <c r="G153" s="104">
        <f t="shared" si="5"/>
        <v>25000</v>
      </c>
      <c r="H153" s="104">
        <v>3750</v>
      </c>
      <c r="I153" s="107">
        <f t="shared" si="4"/>
        <v>6.666666666666667</v>
      </c>
      <c r="J153" s="104">
        <v>3.7999999999999999E-2</v>
      </c>
      <c r="K153" s="147">
        <v>11.512925464970229</v>
      </c>
    </row>
    <row r="154" spans="3:11" hidden="1" x14ac:dyDescent="0.3">
      <c r="C154" s="146" t="s">
        <v>14</v>
      </c>
      <c r="D154" s="104" t="s">
        <v>38</v>
      </c>
      <c r="E154" s="104" t="s">
        <v>59</v>
      </c>
      <c r="F154" s="104">
        <v>165821.29855500002</v>
      </c>
      <c r="G154" s="104">
        <f t="shared" si="5"/>
        <v>65821.298555000016</v>
      </c>
      <c r="H154" s="104">
        <v>3813</v>
      </c>
      <c r="I154" s="107">
        <f t="shared" si="4"/>
        <v>17.262338986362447</v>
      </c>
      <c r="J154" s="104">
        <v>3.8250489040477502E-2</v>
      </c>
      <c r="K154" s="147">
        <v>12.018665972751595</v>
      </c>
    </row>
    <row r="155" spans="3:11" hidden="1" x14ac:dyDescent="0.3">
      <c r="C155" s="146" t="s">
        <v>64</v>
      </c>
      <c r="D155" s="104" t="s">
        <v>38</v>
      </c>
      <c r="E155" s="104" t="s">
        <v>59</v>
      </c>
      <c r="F155" s="104">
        <v>136304.7674295</v>
      </c>
      <c r="G155" s="104">
        <f t="shared" si="5"/>
        <v>-29516.531125500012</v>
      </c>
      <c r="H155" s="104">
        <v>9141</v>
      </c>
      <c r="I155" s="107">
        <f t="shared" si="4"/>
        <v>-3.2290264878569097</v>
      </c>
      <c r="J155" s="104">
        <v>7.9552673948044036E-2</v>
      </c>
      <c r="K155" s="147">
        <v>11.822648594545413</v>
      </c>
    </row>
    <row r="156" spans="3:11" hidden="1" x14ac:dyDescent="0.3">
      <c r="C156" s="146" t="s">
        <v>65</v>
      </c>
      <c r="D156" s="104" t="s">
        <v>38</v>
      </c>
      <c r="E156" s="104" t="s">
        <v>59</v>
      </c>
      <c r="F156" s="104">
        <v>289674.63252449996</v>
      </c>
      <c r="G156" s="104">
        <f t="shared" si="5"/>
        <v>153369.86509499996</v>
      </c>
      <c r="H156" s="104">
        <v>7416</v>
      </c>
      <c r="I156" s="107">
        <f t="shared" si="4"/>
        <v>20.680941895226532</v>
      </c>
      <c r="J156" s="104">
        <v>6.236282449103156E-2</v>
      </c>
      <c r="K156" s="147">
        <v>12.576513615285879</v>
      </c>
    </row>
    <row r="157" spans="3:11" hidden="1" x14ac:dyDescent="0.3">
      <c r="C157" s="146" t="s">
        <v>66</v>
      </c>
      <c r="D157" s="104" t="s">
        <v>38</v>
      </c>
      <c r="E157" s="104" t="s">
        <v>59</v>
      </c>
      <c r="F157" s="104">
        <v>255328.42329899999</v>
      </c>
      <c r="G157" s="104">
        <f t="shared" si="5"/>
        <v>-34346.209225499973</v>
      </c>
      <c r="H157" s="104">
        <v>8048</v>
      </c>
      <c r="I157" s="107">
        <f t="shared" ref="I157:I220" si="6">G157/H157</f>
        <v>-4.2676701323931381</v>
      </c>
      <c r="J157" s="104">
        <v>5.946856619277037E-2</v>
      </c>
      <c r="K157" s="147">
        <v>12.450305929970243</v>
      </c>
    </row>
    <row r="158" spans="3:11" hidden="1" x14ac:dyDescent="0.3">
      <c r="C158" s="146" t="s">
        <v>181</v>
      </c>
      <c r="D158" s="104" t="s">
        <v>40</v>
      </c>
      <c r="E158" s="104" t="s">
        <v>68</v>
      </c>
      <c r="F158" s="104">
        <v>850</v>
      </c>
      <c r="G158" s="104"/>
      <c r="H158" s="104">
        <v>12.5</v>
      </c>
      <c r="I158" s="107">
        <f t="shared" si="6"/>
        <v>0</v>
      </c>
      <c r="J158" s="104">
        <v>2.8500000000000001E-2</v>
      </c>
      <c r="K158" s="147">
        <v>6.7452363494843626</v>
      </c>
    </row>
    <row r="159" spans="3:11" hidden="1" x14ac:dyDescent="0.3">
      <c r="C159" s="146" t="s">
        <v>182</v>
      </c>
      <c r="D159" s="104" t="s">
        <v>40</v>
      </c>
      <c r="E159" s="104" t="s">
        <v>68</v>
      </c>
      <c r="F159" s="104">
        <v>920</v>
      </c>
      <c r="G159" s="104">
        <f t="shared" si="5"/>
        <v>70</v>
      </c>
      <c r="H159" s="104">
        <v>13.8</v>
      </c>
      <c r="I159" s="107">
        <f t="shared" si="6"/>
        <v>5.0724637681159415</v>
      </c>
      <c r="J159" s="104">
        <v>3.0200000000000001E-2</v>
      </c>
      <c r="K159" s="147">
        <v>6.8243736700430864</v>
      </c>
    </row>
    <row r="160" spans="3:11" hidden="1" x14ac:dyDescent="0.3">
      <c r="C160" s="146" t="s">
        <v>183</v>
      </c>
      <c r="D160" s="104" t="s">
        <v>40</v>
      </c>
      <c r="E160" s="104" t="s">
        <v>68</v>
      </c>
      <c r="F160" s="104">
        <v>1050</v>
      </c>
      <c r="G160" s="104">
        <f t="shared" si="5"/>
        <v>130</v>
      </c>
      <c r="H160" s="104">
        <v>14.5</v>
      </c>
      <c r="I160" s="107">
        <f t="shared" si="6"/>
        <v>8.9655172413793096</v>
      </c>
      <c r="J160" s="104">
        <v>3.15E-2</v>
      </c>
      <c r="K160" s="147">
        <v>6.956545443151569</v>
      </c>
    </row>
    <row r="161" spans="3:11" hidden="1" x14ac:dyDescent="0.3">
      <c r="C161" s="146" t="s">
        <v>184</v>
      </c>
      <c r="D161" s="104" t="s">
        <v>40</v>
      </c>
      <c r="E161" s="104" t="s">
        <v>68</v>
      </c>
      <c r="F161" s="104">
        <v>980</v>
      </c>
      <c r="G161" s="104">
        <f t="shared" si="5"/>
        <v>-70</v>
      </c>
      <c r="H161" s="104">
        <v>15.2</v>
      </c>
      <c r="I161" s="107">
        <f t="shared" si="6"/>
        <v>-4.6052631578947372</v>
      </c>
      <c r="J161" s="104">
        <v>3.2800000000000003E-2</v>
      </c>
      <c r="K161" s="147">
        <v>6.8875525716646173</v>
      </c>
    </row>
    <row r="162" spans="3:11" hidden="1" x14ac:dyDescent="0.3">
      <c r="C162" s="146" t="s">
        <v>185</v>
      </c>
      <c r="D162" s="104" t="s">
        <v>40</v>
      </c>
      <c r="E162" s="104" t="s">
        <v>68</v>
      </c>
      <c r="F162" s="104">
        <v>680</v>
      </c>
      <c r="G162" s="104">
        <f t="shared" si="5"/>
        <v>-300</v>
      </c>
      <c r="H162" s="104">
        <v>16</v>
      </c>
      <c r="I162" s="107">
        <f t="shared" si="6"/>
        <v>-18.75</v>
      </c>
      <c r="J162" s="104">
        <v>3.3500000000000002E-2</v>
      </c>
      <c r="K162" s="147">
        <v>6.522092798170152</v>
      </c>
    </row>
    <row r="163" spans="3:11" hidden="1" x14ac:dyDescent="0.3">
      <c r="C163" s="146" t="s">
        <v>186</v>
      </c>
      <c r="D163" s="104" t="s">
        <v>40</v>
      </c>
      <c r="E163" s="104" t="s">
        <v>68</v>
      </c>
      <c r="F163" s="104">
        <v>820</v>
      </c>
      <c r="G163" s="104">
        <f t="shared" si="5"/>
        <v>140</v>
      </c>
      <c r="H163" s="104">
        <v>17.5</v>
      </c>
      <c r="I163" s="107">
        <f t="shared" si="6"/>
        <v>8</v>
      </c>
      <c r="J163" s="104">
        <v>3.4200000000000001E-2</v>
      </c>
      <c r="K163" s="147">
        <v>6.7093043402582984</v>
      </c>
    </row>
    <row r="164" spans="3:11" hidden="1" x14ac:dyDescent="0.3">
      <c r="C164" s="146" t="s">
        <v>14</v>
      </c>
      <c r="D164" s="104" t="s">
        <v>40</v>
      </c>
      <c r="E164" s="104" t="s">
        <v>68</v>
      </c>
      <c r="F164" s="104">
        <v>1064</v>
      </c>
      <c r="G164" s="104">
        <f t="shared" si="5"/>
        <v>244</v>
      </c>
      <c r="H164" s="104">
        <v>19.57</v>
      </c>
      <c r="I164" s="107">
        <f t="shared" si="6"/>
        <v>12.468063362289218</v>
      </c>
      <c r="J164" s="104">
        <v>7.3518915060670946E-3</v>
      </c>
      <c r="K164" s="147">
        <v>6.9697906699015899</v>
      </c>
    </row>
    <row r="165" spans="3:11" hidden="1" x14ac:dyDescent="0.3">
      <c r="C165" s="146" t="s">
        <v>64</v>
      </c>
      <c r="D165" s="104" t="s">
        <v>40</v>
      </c>
      <c r="E165" s="104" t="s">
        <v>68</v>
      </c>
      <c r="F165" s="104">
        <v>1366</v>
      </c>
      <c r="G165" s="104">
        <f t="shared" si="5"/>
        <v>302</v>
      </c>
      <c r="H165" s="104">
        <v>48.57</v>
      </c>
      <c r="I165" s="107">
        <f t="shared" si="6"/>
        <v>6.217829936174593</v>
      </c>
      <c r="J165" s="104">
        <v>1.453978308571497E-2</v>
      </c>
      <c r="K165" s="147">
        <v>7.2196420401307355</v>
      </c>
    </row>
    <row r="166" spans="3:11" hidden="1" x14ac:dyDescent="0.3">
      <c r="C166" s="146" t="s">
        <v>65</v>
      </c>
      <c r="D166" s="104" t="s">
        <v>40</v>
      </c>
      <c r="E166" s="104" t="s">
        <v>68</v>
      </c>
      <c r="F166" s="104">
        <v>4224</v>
      </c>
      <c r="G166" s="104">
        <f t="shared" si="5"/>
        <v>2858</v>
      </c>
      <c r="H166" s="104">
        <v>79.36</v>
      </c>
      <c r="I166" s="107">
        <f t="shared" si="6"/>
        <v>36.01310483870968</v>
      </c>
      <c r="J166" s="104">
        <v>1.916917473031271E-2</v>
      </c>
      <c r="K166" s="147">
        <v>8.3485378253860976</v>
      </c>
    </row>
    <row r="167" spans="3:11" hidden="1" x14ac:dyDescent="0.3">
      <c r="C167" s="146" t="s">
        <v>66</v>
      </c>
      <c r="D167" s="104" t="s">
        <v>40</v>
      </c>
      <c r="E167" s="104" t="s">
        <v>68</v>
      </c>
      <c r="F167" s="104">
        <v>4135</v>
      </c>
      <c r="G167" s="104">
        <f t="shared" si="5"/>
        <v>-89</v>
      </c>
      <c r="H167" s="104">
        <v>96.788300000000007</v>
      </c>
      <c r="I167" s="107">
        <f t="shared" si="6"/>
        <v>-0.91953262946037895</v>
      </c>
      <c r="J167" s="104">
        <v>2.2004842559963624E-2</v>
      </c>
      <c r="K167" s="147">
        <v>8.3272426074577925</v>
      </c>
    </row>
    <row r="168" spans="3:11" hidden="1" x14ac:dyDescent="0.3">
      <c r="C168" s="146" t="s">
        <v>181</v>
      </c>
      <c r="D168" s="104" t="s">
        <v>42</v>
      </c>
      <c r="E168" s="104" t="s">
        <v>59</v>
      </c>
      <c r="F168" s="104">
        <v>600</v>
      </c>
      <c r="G168" s="104"/>
      <c r="H168" s="104">
        <v>480</v>
      </c>
      <c r="I168" s="107">
        <f t="shared" si="6"/>
        <v>0</v>
      </c>
      <c r="J168" s="104">
        <v>3.85E-2</v>
      </c>
      <c r="K168" s="147">
        <v>6.3969296552161463</v>
      </c>
    </row>
    <row r="169" spans="3:11" hidden="1" x14ac:dyDescent="0.3">
      <c r="C169" s="146" t="s">
        <v>182</v>
      </c>
      <c r="D169" s="104" t="s">
        <v>42</v>
      </c>
      <c r="E169" s="104" t="s">
        <v>59</v>
      </c>
      <c r="F169" s="104">
        <v>850</v>
      </c>
      <c r="G169" s="104">
        <f t="shared" ref="G169:G231" si="7">F169-F168</f>
        <v>250</v>
      </c>
      <c r="H169" s="104">
        <v>620</v>
      </c>
      <c r="I169" s="107">
        <f t="shared" si="6"/>
        <v>0.40322580645161288</v>
      </c>
      <c r="J169" s="104">
        <v>4.2799999999999998E-2</v>
      </c>
      <c r="K169" s="147">
        <v>6.7452363494843626</v>
      </c>
    </row>
    <row r="170" spans="3:11" hidden="1" x14ac:dyDescent="0.3">
      <c r="C170" s="146" t="s">
        <v>183</v>
      </c>
      <c r="D170" s="104" t="s">
        <v>42</v>
      </c>
      <c r="E170" s="104" t="s">
        <v>59</v>
      </c>
      <c r="F170" s="104">
        <v>1200</v>
      </c>
      <c r="G170" s="104">
        <f t="shared" si="7"/>
        <v>350</v>
      </c>
      <c r="H170" s="104">
        <v>780</v>
      </c>
      <c r="I170" s="107">
        <f t="shared" si="6"/>
        <v>0.44871794871794873</v>
      </c>
      <c r="J170" s="104">
        <v>4.7199999999999999E-2</v>
      </c>
      <c r="K170" s="147">
        <v>7.0900768357760917</v>
      </c>
    </row>
    <row r="171" spans="3:11" hidden="1" x14ac:dyDescent="0.3">
      <c r="C171" s="146" t="s">
        <v>184</v>
      </c>
      <c r="D171" s="104" t="s">
        <v>42</v>
      </c>
      <c r="E171" s="104" t="s">
        <v>59</v>
      </c>
      <c r="F171" s="104">
        <v>1650</v>
      </c>
      <c r="G171" s="104">
        <f t="shared" si="7"/>
        <v>450</v>
      </c>
      <c r="H171" s="104">
        <v>980</v>
      </c>
      <c r="I171" s="107">
        <f t="shared" si="6"/>
        <v>0.45918367346938777</v>
      </c>
      <c r="J171" s="104">
        <v>5.1499999999999997E-2</v>
      </c>
      <c r="K171" s="147">
        <v>7.4085305668946262</v>
      </c>
    </row>
    <row r="172" spans="3:11" hidden="1" x14ac:dyDescent="0.3">
      <c r="C172" s="146" t="s">
        <v>185</v>
      </c>
      <c r="D172" s="104" t="s">
        <v>42</v>
      </c>
      <c r="E172" s="104" t="s">
        <v>59</v>
      </c>
      <c r="F172" s="104">
        <v>1950</v>
      </c>
      <c r="G172" s="104">
        <f t="shared" si="7"/>
        <v>300</v>
      </c>
      <c r="H172" s="104">
        <v>1180</v>
      </c>
      <c r="I172" s="107">
        <f t="shared" si="6"/>
        <v>0.25423728813559321</v>
      </c>
      <c r="J172" s="104">
        <v>5.4800000000000001E-2</v>
      </c>
      <c r="K172" s="147">
        <v>7.5755846515577927</v>
      </c>
    </row>
    <row r="173" spans="3:11" hidden="1" x14ac:dyDescent="0.3">
      <c r="C173" s="146" t="s">
        <v>186</v>
      </c>
      <c r="D173" s="104" t="s">
        <v>42</v>
      </c>
      <c r="E173" s="104" t="s">
        <v>59</v>
      </c>
      <c r="F173" s="104">
        <v>2600</v>
      </c>
      <c r="G173" s="104">
        <f t="shared" si="7"/>
        <v>650</v>
      </c>
      <c r="H173" s="104">
        <v>1350</v>
      </c>
      <c r="I173" s="107">
        <f t="shared" si="6"/>
        <v>0.48148148148148145</v>
      </c>
      <c r="J173" s="104">
        <v>5.7799999999999997E-2</v>
      </c>
      <c r="K173" s="147">
        <v>7.8632667240095735</v>
      </c>
    </row>
    <row r="174" spans="3:11" hidden="1" x14ac:dyDescent="0.3">
      <c r="C174" s="146" t="s">
        <v>14</v>
      </c>
      <c r="D174" s="104" t="s">
        <v>42</v>
      </c>
      <c r="E174" s="104" t="s">
        <v>59</v>
      </c>
      <c r="F174" s="104">
        <v>3462</v>
      </c>
      <c r="G174" s="104">
        <f t="shared" si="7"/>
        <v>862</v>
      </c>
      <c r="H174" s="104">
        <v>1549</v>
      </c>
      <c r="I174" s="107">
        <f t="shared" si="6"/>
        <v>0.55648805681084568</v>
      </c>
      <c r="J174" s="104">
        <v>0.33343450455162854</v>
      </c>
      <c r="K174" s="147">
        <v>8.1496017357361552</v>
      </c>
    </row>
    <row r="175" spans="3:11" hidden="1" x14ac:dyDescent="0.3">
      <c r="C175" s="146" t="s">
        <v>64</v>
      </c>
      <c r="D175" s="104" t="s">
        <v>42</v>
      </c>
      <c r="E175" s="104" t="s">
        <v>59</v>
      </c>
      <c r="F175" s="104">
        <v>4089</v>
      </c>
      <c r="G175" s="104">
        <f t="shared" si="7"/>
        <v>627</v>
      </c>
      <c r="H175" s="104">
        <v>2738</v>
      </c>
      <c r="I175" s="107">
        <f t="shared" si="6"/>
        <v>0.22899926953981009</v>
      </c>
      <c r="J175" s="104">
        <v>0.48122721728340384</v>
      </c>
      <c r="K175" s="147">
        <v>8.316055720364643</v>
      </c>
    </row>
    <row r="176" spans="3:11" hidden="1" x14ac:dyDescent="0.3">
      <c r="C176" s="146" t="s">
        <v>65</v>
      </c>
      <c r="D176" s="104" t="s">
        <v>42</v>
      </c>
      <c r="E176" s="104" t="s">
        <v>59</v>
      </c>
      <c r="F176" s="104">
        <v>51523</v>
      </c>
      <c r="G176" s="104">
        <f t="shared" si="7"/>
        <v>47434</v>
      </c>
      <c r="H176" s="104">
        <v>2070</v>
      </c>
      <c r="I176" s="107">
        <f t="shared" si="6"/>
        <v>22.914975845410627</v>
      </c>
      <c r="J176" s="104">
        <v>0.18813050986094701</v>
      </c>
      <c r="K176" s="147">
        <v>10.84978358889661</v>
      </c>
    </row>
    <row r="177" spans="3:11" hidden="1" x14ac:dyDescent="0.3">
      <c r="C177" s="146" t="s">
        <v>66</v>
      </c>
      <c r="D177" s="104" t="s">
        <v>42</v>
      </c>
      <c r="E177" s="104" t="s">
        <v>59</v>
      </c>
      <c r="F177" s="104">
        <v>67158</v>
      </c>
      <c r="G177" s="104">
        <f t="shared" si="7"/>
        <v>15635</v>
      </c>
      <c r="H177" s="104">
        <v>2075</v>
      </c>
      <c r="I177" s="107">
        <f t="shared" si="6"/>
        <v>7.5349397590361447</v>
      </c>
      <c r="J177" s="104">
        <v>0.19784515636918382</v>
      </c>
      <c r="K177" s="147">
        <v>11.114803331117322</v>
      </c>
    </row>
    <row r="178" spans="3:11" hidden="1" x14ac:dyDescent="0.3">
      <c r="C178" s="146" t="s">
        <v>181</v>
      </c>
      <c r="D178" s="104" t="s">
        <v>44</v>
      </c>
      <c r="E178" s="104" t="s">
        <v>68</v>
      </c>
      <c r="F178" s="104">
        <v>3200</v>
      </c>
      <c r="G178" s="104"/>
      <c r="H178" s="104">
        <v>320</v>
      </c>
      <c r="I178" s="107">
        <f t="shared" si="6"/>
        <v>0</v>
      </c>
      <c r="J178" s="104">
        <v>2.4199999999999999E-2</v>
      </c>
      <c r="K178" s="147">
        <v>8.0709060887878188</v>
      </c>
    </row>
    <row r="179" spans="3:11" hidden="1" x14ac:dyDescent="0.3">
      <c r="C179" s="146" t="s">
        <v>182</v>
      </c>
      <c r="D179" s="104" t="s">
        <v>44</v>
      </c>
      <c r="E179" s="104" t="s">
        <v>68</v>
      </c>
      <c r="F179" s="104">
        <v>3800</v>
      </c>
      <c r="G179" s="104">
        <f t="shared" si="7"/>
        <v>600</v>
      </c>
      <c r="H179" s="104">
        <v>368</v>
      </c>
      <c r="I179" s="107">
        <f t="shared" si="6"/>
        <v>1.6304347826086956</v>
      </c>
      <c r="J179" s="104">
        <v>2.6800000000000001E-2</v>
      </c>
      <c r="K179" s="147">
        <v>8.2427563457144775</v>
      </c>
    </row>
    <row r="180" spans="3:11" hidden="1" x14ac:dyDescent="0.3">
      <c r="C180" s="146" t="s">
        <v>183</v>
      </c>
      <c r="D180" s="104" t="s">
        <v>44</v>
      </c>
      <c r="E180" s="104" t="s">
        <v>68</v>
      </c>
      <c r="F180" s="104">
        <v>4500</v>
      </c>
      <c r="G180" s="104">
        <f t="shared" si="7"/>
        <v>700</v>
      </c>
      <c r="H180" s="104">
        <v>422</v>
      </c>
      <c r="I180" s="107">
        <f t="shared" si="6"/>
        <v>1.6587677725118484</v>
      </c>
      <c r="J180" s="104">
        <v>2.9499999999999998E-2</v>
      </c>
      <c r="K180" s="147">
        <v>8.4118326757584114</v>
      </c>
    </row>
    <row r="181" spans="3:11" hidden="1" x14ac:dyDescent="0.3">
      <c r="C181" s="146" t="s">
        <v>184</v>
      </c>
      <c r="D181" s="104" t="s">
        <v>44</v>
      </c>
      <c r="E181" s="104" t="s">
        <v>68</v>
      </c>
      <c r="F181" s="104">
        <v>5200</v>
      </c>
      <c r="G181" s="104">
        <f t="shared" si="7"/>
        <v>700</v>
      </c>
      <c r="H181" s="104">
        <v>480</v>
      </c>
      <c r="I181" s="107">
        <f t="shared" si="6"/>
        <v>1.4583333333333333</v>
      </c>
      <c r="J181" s="104">
        <v>3.2199999999999999E-2</v>
      </c>
      <c r="K181" s="147">
        <v>8.5564139045695189</v>
      </c>
    </row>
    <row r="182" spans="3:11" hidden="1" x14ac:dyDescent="0.3">
      <c r="C182" s="146" t="s">
        <v>185</v>
      </c>
      <c r="D182" s="104" t="s">
        <v>44</v>
      </c>
      <c r="E182" s="104" t="s">
        <v>68</v>
      </c>
      <c r="F182" s="104">
        <v>4800</v>
      </c>
      <c r="G182" s="104">
        <f t="shared" si="7"/>
        <v>-400</v>
      </c>
      <c r="H182" s="104">
        <v>520</v>
      </c>
      <c r="I182" s="107">
        <f t="shared" si="6"/>
        <v>-0.76923076923076927</v>
      </c>
      <c r="J182" s="104">
        <v>3.4200000000000001E-2</v>
      </c>
      <c r="K182" s="147">
        <v>8.4763711968959825</v>
      </c>
    </row>
    <row r="183" spans="3:11" hidden="1" x14ac:dyDescent="0.3">
      <c r="C183" s="146" t="s">
        <v>186</v>
      </c>
      <c r="D183" s="104" t="s">
        <v>44</v>
      </c>
      <c r="E183" s="104" t="s">
        <v>68</v>
      </c>
      <c r="F183" s="104">
        <v>7500</v>
      </c>
      <c r="G183" s="104">
        <f t="shared" si="7"/>
        <v>2700</v>
      </c>
      <c r="H183" s="104">
        <v>550</v>
      </c>
      <c r="I183" s="107">
        <f t="shared" si="6"/>
        <v>4.9090909090909092</v>
      </c>
      <c r="J183" s="104">
        <v>3.5799999999999998E-2</v>
      </c>
      <c r="K183" s="147">
        <v>8.9226582995244019</v>
      </c>
    </row>
    <row r="184" spans="3:11" hidden="1" x14ac:dyDescent="0.3">
      <c r="C184" s="146" t="s">
        <v>14</v>
      </c>
      <c r="D184" s="104" t="s">
        <v>44</v>
      </c>
      <c r="E184" s="104" t="s">
        <v>68</v>
      </c>
      <c r="F184" s="104">
        <v>30344</v>
      </c>
      <c r="G184" s="104">
        <f t="shared" si="7"/>
        <v>22844</v>
      </c>
      <c r="H184" s="104">
        <v>584</v>
      </c>
      <c r="I184" s="107">
        <f t="shared" si="6"/>
        <v>39.11643835616438</v>
      </c>
      <c r="J184" s="104">
        <v>3.5799999999999998E-2</v>
      </c>
      <c r="K184" s="147">
        <v>10.320354083368734</v>
      </c>
    </row>
    <row r="185" spans="3:11" hidden="1" x14ac:dyDescent="0.3">
      <c r="C185" s="146" t="s">
        <v>64</v>
      </c>
      <c r="D185" s="104" t="s">
        <v>44</v>
      </c>
      <c r="E185" s="104" t="s">
        <v>68</v>
      </c>
      <c r="F185" s="104">
        <v>44615</v>
      </c>
      <c r="G185" s="104">
        <f t="shared" si="7"/>
        <v>14271</v>
      </c>
      <c r="H185" s="104">
        <v>721</v>
      </c>
      <c r="I185" s="107">
        <f t="shared" si="6"/>
        <v>19.793342579750348</v>
      </c>
      <c r="J185" s="104">
        <v>4.1099999999999998E-2</v>
      </c>
      <c r="K185" s="147">
        <v>10.705825404334252</v>
      </c>
    </row>
    <row r="186" spans="3:11" hidden="1" x14ac:dyDescent="0.3">
      <c r="C186" s="146" t="s">
        <v>65</v>
      </c>
      <c r="D186" s="104" t="s">
        <v>44</v>
      </c>
      <c r="E186" s="104" t="s">
        <v>68</v>
      </c>
      <c r="F186" s="104">
        <v>70883</v>
      </c>
      <c r="G186" s="104">
        <f t="shared" si="7"/>
        <v>26268</v>
      </c>
      <c r="H186" s="104">
        <v>701</v>
      </c>
      <c r="I186" s="107">
        <f t="shared" si="6"/>
        <v>37.472182596291013</v>
      </c>
      <c r="J186" s="104">
        <v>4.7600000000000003E-2</v>
      </c>
      <c r="K186" s="147">
        <v>11.168785909439716</v>
      </c>
    </row>
    <row r="187" spans="3:11" hidden="1" x14ac:dyDescent="0.3">
      <c r="C187" s="146" t="s">
        <v>66</v>
      </c>
      <c r="D187" s="104" t="s">
        <v>44</v>
      </c>
      <c r="E187" s="104" t="s">
        <v>68</v>
      </c>
      <c r="F187" s="104">
        <v>60983</v>
      </c>
      <c r="G187" s="104">
        <f t="shared" si="7"/>
        <v>-9900</v>
      </c>
      <c r="H187" s="104">
        <v>750</v>
      </c>
      <c r="I187" s="107">
        <f t="shared" si="6"/>
        <v>-13.2</v>
      </c>
      <c r="J187" s="104">
        <v>4.9099999999999998E-2</v>
      </c>
      <c r="K187" s="147">
        <v>11.018350415789994</v>
      </c>
    </row>
    <row r="188" spans="3:11" hidden="1" x14ac:dyDescent="0.3">
      <c r="C188" s="146" t="s">
        <v>181</v>
      </c>
      <c r="D188" s="104" t="s">
        <v>46</v>
      </c>
      <c r="E188" s="104" t="s">
        <v>45</v>
      </c>
      <c r="F188" s="104">
        <v>6500</v>
      </c>
      <c r="G188" s="104"/>
      <c r="H188" s="104">
        <v>3200</v>
      </c>
      <c r="I188" s="107">
        <f t="shared" si="6"/>
        <v>0</v>
      </c>
      <c r="J188" s="104">
        <v>3.2199999999999999E-2</v>
      </c>
      <c r="K188" s="147">
        <v>8.7795574558837277</v>
      </c>
    </row>
    <row r="189" spans="3:11" hidden="1" x14ac:dyDescent="0.3">
      <c r="C189" s="146" t="s">
        <v>182</v>
      </c>
      <c r="D189" s="104" t="s">
        <v>46</v>
      </c>
      <c r="E189" s="104" t="s">
        <v>45</v>
      </c>
      <c r="F189" s="104">
        <v>8200</v>
      </c>
      <c r="G189" s="104">
        <f t="shared" si="7"/>
        <v>1700</v>
      </c>
      <c r="H189" s="104">
        <v>3800</v>
      </c>
      <c r="I189" s="107">
        <f t="shared" si="6"/>
        <v>0.44736842105263158</v>
      </c>
      <c r="J189" s="104">
        <v>3.6200000000000003E-2</v>
      </c>
      <c r="K189" s="147">
        <v>9.0118894332523443</v>
      </c>
    </row>
    <row r="190" spans="3:11" hidden="1" x14ac:dyDescent="0.3">
      <c r="C190" s="146" t="s">
        <v>183</v>
      </c>
      <c r="D190" s="104" t="s">
        <v>46</v>
      </c>
      <c r="E190" s="104" t="s">
        <v>45</v>
      </c>
      <c r="F190" s="104">
        <v>10500</v>
      </c>
      <c r="G190" s="104">
        <f t="shared" si="7"/>
        <v>2300</v>
      </c>
      <c r="H190" s="104">
        <v>4500</v>
      </c>
      <c r="I190" s="107">
        <f t="shared" si="6"/>
        <v>0.51111111111111107</v>
      </c>
      <c r="J190" s="104">
        <v>4.02E-2</v>
      </c>
      <c r="K190" s="147">
        <v>9.259130536145614</v>
      </c>
    </row>
    <row r="191" spans="3:11" hidden="1" x14ac:dyDescent="0.3">
      <c r="C191" s="146" t="s">
        <v>184</v>
      </c>
      <c r="D191" s="104" t="s">
        <v>46</v>
      </c>
      <c r="E191" s="104" t="s">
        <v>45</v>
      </c>
      <c r="F191" s="104">
        <v>18000</v>
      </c>
      <c r="G191" s="104">
        <f t="shared" si="7"/>
        <v>7500</v>
      </c>
      <c r="H191" s="104">
        <v>5500</v>
      </c>
      <c r="I191" s="107">
        <f t="shared" si="6"/>
        <v>1.3636363636363635</v>
      </c>
      <c r="J191" s="104">
        <v>4.48E-2</v>
      </c>
      <c r="K191" s="147">
        <v>9.7981270368783022</v>
      </c>
    </row>
    <row r="192" spans="3:11" hidden="1" x14ac:dyDescent="0.3">
      <c r="C192" s="146" t="s">
        <v>185</v>
      </c>
      <c r="D192" s="104" t="s">
        <v>46</v>
      </c>
      <c r="E192" s="104" t="s">
        <v>45</v>
      </c>
      <c r="F192" s="104">
        <v>12000</v>
      </c>
      <c r="G192" s="104">
        <f t="shared" si="7"/>
        <v>-6000</v>
      </c>
      <c r="H192" s="104">
        <v>6800</v>
      </c>
      <c r="I192" s="107">
        <f t="shared" si="6"/>
        <v>-0.88235294117647056</v>
      </c>
      <c r="J192" s="104">
        <v>4.8800000000000003E-2</v>
      </c>
      <c r="K192" s="147">
        <v>9.3926619287701367</v>
      </c>
    </row>
    <row r="193" spans="3:11" hidden="1" x14ac:dyDescent="0.3">
      <c r="C193" s="146" t="s">
        <v>186</v>
      </c>
      <c r="D193" s="104" t="s">
        <v>46</v>
      </c>
      <c r="E193" s="104" t="s">
        <v>45</v>
      </c>
      <c r="F193" s="104">
        <v>25000</v>
      </c>
      <c r="G193" s="104">
        <f t="shared" si="7"/>
        <v>13000</v>
      </c>
      <c r="H193" s="104">
        <v>8000</v>
      </c>
      <c r="I193" s="107">
        <f t="shared" si="6"/>
        <v>1.625</v>
      </c>
      <c r="J193" s="104">
        <v>4.82E-2</v>
      </c>
      <c r="K193" s="147">
        <v>10.126631103850338</v>
      </c>
    </row>
    <row r="194" spans="3:11" hidden="1" x14ac:dyDescent="0.3">
      <c r="C194" s="146" t="s">
        <v>14</v>
      </c>
      <c r="D194" s="104" t="s">
        <v>46</v>
      </c>
      <c r="E194" s="104" t="s">
        <v>45</v>
      </c>
      <c r="F194" s="104">
        <v>137194</v>
      </c>
      <c r="G194" s="104">
        <f t="shared" si="7"/>
        <v>112194</v>
      </c>
      <c r="H194" s="104">
        <v>9469</v>
      </c>
      <c r="I194" s="107">
        <f t="shared" si="6"/>
        <v>11.848558453902207</v>
      </c>
      <c r="J194" s="104">
        <v>5.0200000000000002E-2</v>
      </c>
      <c r="K194" s="147">
        <v>11.829151261539234</v>
      </c>
    </row>
    <row r="195" spans="3:11" hidden="1" x14ac:dyDescent="0.3">
      <c r="C195" s="146" t="s">
        <v>64</v>
      </c>
      <c r="D195" s="104" t="s">
        <v>46</v>
      </c>
      <c r="E195" s="104" t="s">
        <v>45</v>
      </c>
      <c r="F195" s="104">
        <v>206465</v>
      </c>
      <c r="G195" s="104">
        <f t="shared" si="7"/>
        <v>69271</v>
      </c>
      <c r="H195" s="104">
        <v>10408</v>
      </c>
      <c r="I195" s="107">
        <f t="shared" si="6"/>
        <v>6.6555534204458109</v>
      </c>
      <c r="J195" s="104">
        <v>5.6500000000000002E-2</v>
      </c>
      <c r="K195" s="147">
        <v>12.237886185492489</v>
      </c>
    </row>
    <row r="196" spans="3:11" hidden="1" x14ac:dyDescent="0.3">
      <c r="C196" s="146" t="s">
        <v>65</v>
      </c>
      <c r="D196" s="104" t="s">
        <v>46</v>
      </c>
      <c r="E196" s="104" t="s">
        <v>45</v>
      </c>
      <c r="F196" s="104">
        <v>335198</v>
      </c>
      <c r="G196" s="104">
        <f t="shared" si="7"/>
        <v>128733</v>
      </c>
      <c r="H196" s="104">
        <v>13003</v>
      </c>
      <c r="I196" s="107">
        <f t="shared" si="6"/>
        <v>9.900253787587479</v>
      </c>
      <c r="J196" s="104">
        <v>6.3399999999999998E-2</v>
      </c>
      <c r="K196" s="147">
        <v>12.722476680985153</v>
      </c>
    </row>
    <row r="197" spans="3:11" hidden="1" x14ac:dyDescent="0.3">
      <c r="C197" s="146" t="s">
        <v>66</v>
      </c>
      <c r="D197" s="104" t="s">
        <v>46</v>
      </c>
      <c r="E197" s="104" t="s">
        <v>45</v>
      </c>
      <c r="F197" s="104">
        <v>295000</v>
      </c>
      <c r="G197" s="104">
        <f t="shared" si="7"/>
        <v>-40198</v>
      </c>
      <c r="H197" s="104">
        <v>14500</v>
      </c>
      <c r="I197" s="107">
        <f t="shared" si="6"/>
        <v>-2.7722758620689656</v>
      </c>
      <c r="J197" s="104">
        <v>6.6100000000000006E-2</v>
      </c>
      <c r="K197" s="147">
        <v>12.594730635321957</v>
      </c>
    </row>
    <row r="198" spans="3:11" hidden="1" x14ac:dyDescent="0.3">
      <c r="C198" s="146" t="s">
        <v>181</v>
      </c>
      <c r="D198" s="104" t="s">
        <v>48</v>
      </c>
      <c r="E198" s="104" t="s">
        <v>74</v>
      </c>
      <c r="F198" s="104">
        <v>1250</v>
      </c>
      <c r="G198" s="104"/>
      <c r="H198" s="104">
        <v>185</v>
      </c>
      <c r="I198" s="107">
        <f t="shared" si="6"/>
        <v>0</v>
      </c>
      <c r="J198" s="104">
        <v>2.18E-2</v>
      </c>
      <c r="K198" s="147">
        <v>7.1308988302963465</v>
      </c>
    </row>
    <row r="199" spans="3:11" hidden="1" x14ac:dyDescent="0.3">
      <c r="C199" s="146" t="s">
        <v>182</v>
      </c>
      <c r="D199" s="104" t="s">
        <v>48</v>
      </c>
      <c r="E199" s="104" t="s">
        <v>74</v>
      </c>
      <c r="F199" s="104">
        <v>1680</v>
      </c>
      <c r="G199" s="104">
        <f t="shared" si="7"/>
        <v>430</v>
      </c>
      <c r="H199" s="104">
        <v>215</v>
      </c>
      <c r="I199" s="107">
        <f t="shared" si="6"/>
        <v>2</v>
      </c>
      <c r="J199" s="104">
        <v>2.4199999999999999E-2</v>
      </c>
      <c r="K199" s="147">
        <v>7.4265490723973047</v>
      </c>
    </row>
    <row r="200" spans="3:11" hidden="1" x14ac:dyDescent="0.3">
      <c r="C200" s="146" t="s">
        <v>183</v>
      </c>
      <c r="D200" s="104" t="s">
        <v>48</v>
      </c>
      <c r="E200" s="104" t="s">
        <v>74</v>
      </c>
      <c r="F200" s="104">
        <v>2800</v>
      </c>
      <c r="G200" s="104">
        <f t="shared" si="7"/>
        <v>1120</v>
      </c>
      <c r="H200" s="104">
        <v>248</v>
      </c>
      <c r="I200" s="107">
        <f t="shared" si="6"/>
        <v>4.5161290322580649</v>
      </c>
      <c r="J200" s="104">
        <v>2.6800000000000001E-2</v>
      </c>
      <c r="K200" s="147">
        <v>7.9373746961632952</v>
      </c>
    </row>
    <row r="201" spans="3:11" hidden="1" x14ac:dyDescent="0.3">
      <c r="C201" s="146" t="s">
        <v>184</v>
      </c>
      <c r="D201" s="104" t="s">
        <v>48</v>
      </c>
      <c r="E201" s="104" t="s">
        <v>74</v>
      </c>
      <c r="F201" s="104">
        <v>3800</v>
      </c>
      <c r="G201" s="104">
        <f t="shared" si="7"/>
        <v>1000</v>
      </c>
      <c r="H201" s="104">
        <v>285</v>
      </c>
      <c r="I201" s="107">
        <f t="shared" si="6"/>
        <v>3.5087719298245612</v>
      </c>
      <c r="J201" s="104">
        <v>2.9499999999999998E-2</v>
      </c>
      <c r="K201" s="147">
        <v>8.2427563457144775</v>
      </c>
    </row>
    <row r="202" spans="3:11" hidden="1" x14ac:dyDescent="0.3">
      <c r="C202" s="146" t="s">
        <v>185</v>
      </c>
      <c r="D202" s="104" t="s">
        <v>48</v>
      </c>
      <c r="E202" s="104" t="s">
        <v>74</v>
      </c>
      <c r="F202" s="104">
        <v>2200</v>
      </c>
      <c r="G202" s="104">
        <f t="shared" si="7"/>
        <v>-1600</v>
      </c>
      <c r="H202" s="104">
        <v>318</v>
      </c>
      <c r="I202" s="107">
        <f t="shared" si="6"/>
        <v>-5.0314465408805029</v>
      </c>
      <c r="J202" s="104">
        <v>3.1800000000000002E-2</v>
      </c>
      <c r="K202" s="147">
        <v>7.696212639346407</v>
      </c>
    </row>
    <row r="203" spans="3:11" hidden="1" x14ac:dyDescent="0.3">
      <c r="C203" s="146" t="s">
        <v>186</v>
      </c>
      <c r="D203" s="104" t="s">
        <v>48</v>
      </c>
      <c r="E203" s="104" t="s">
        <v>74</v>
      </c>
      <c r="F203" s="104">
        <v>3500</v>
      </c>
      <c r="G203" s="104">
        <f t="shared" si="7"/>
        <v>1300</v>
      </c>
      <c r="H203" s="104">
        <v>345</v>
      </c>
      <c r="I203" s="107">
        <f t="shared" si="6"/>
        <v>3.7681159420289854</v>
      </c>
      <c r="J203" s="104">
        <v>3.3500000000000002E-2</v>
      </c>
      <c r="K203" s="147">
        <v>8.1605182474775049</v>
      </c>
    </row>
    <row r="204" spans="3:11" hidden="1" x14ac:dyDescent="0.3">
      <c r="C204" s="146" t="s">
        <v>14</v>
      </c>
      <c r="D204" s="104" t="s">
        <v>48</v>
      </c>
      <c r="E204" s="104" t="s">
        <v>74</v>
      </c>
      <c r="F204" s="104">
        <v>6600</v>
      </c>
      <c r="G204" s="104">
        <f t="shared" si="7"/>
        <v>3100</v>
      </c>
      <c r="H204" s="104">
        <v>366</v>
      </c>
      <c r="I204" s="107">
        <f t="shared" si="6"/>
        <v>8.4699453551912569</v>
      </c>
      <c r="J204" s="104">
        <v>3.85E-2</v>
      </c>
      <c r="K204" s="147">
        <v>8.794824928014517</v>
      </c>
    </row>
    <row r="205" spans="3:11" hidden="1" x14ac:dyDescent="0.3">
      <c r="C205" s="146" t="s">
        <v>64</v>
      </c>
      <c r="D205" s="104" t="s">
        <v>48</v>
      </c>
      <c r="E205" s="104" t="s">
        <v>74</v>
      </c>
      <c r="F205" s="104">
        <v>7400</v>
      </c>
      <c r="G205" s="104">
        <f t="shared" si="7"/>
        <v>800</v>
      </c>
      <c r="H205" s="104">
        <v>521</v>
      </c>
      <c r="I205" s="107">
        <f t="shared" si="6"/>
        <v>1.5355086372360844</v>
      </c>
      <c r="J205" s="104">
        <v>4.3700000000000003E-2</v>
      </c>
      <c r="K205" s="147">
        <v>8.9092352791922611</v>
      </c>
    </row>
    <row r="206" spans="3:11" hidden="1" x14ac:dyDescent="0.3">
      <c r="C206" s="146" t="s">
        <v>65</v>
      </c>
      <c r="D206" s="104" t="s">
        <v>48</v>
      </c>
      <c r="E206" s="104" t="s">
        <v>74</v>
      </c>
      <c r="F206" s="104">
        <v>11194</v>
      </c>
      <c r="G206" s="104">
        <f t="shared" si="7"/>
        <v>3794</v>
      </c>
      <c r="H206" s="104">
        <v>615</v>
      </c>
      <c r="I206" s="107">
        <f t="shared" si="6"/>
        <v>6.1691056910569104</v>
      </c>
      <c r="J206" s="104">
        <v>5.1799999999999999E-2</v>
      </c>
      <c r="K206" s="147">
        <v>9.3231331994513056</v>
      </c>
    </row>
    <row r="207" spans="3:11" hidden="1" x14ac:dyDescent="0.3">
      <c r="C207" s="146" t="s">
        <v>66</v>
      </c>
      <c r="D207" s="104" t="s">
        <v>48</v>
      </c>
      <c r="E207" s="104" t="s">
        <v>74</v>
      </c>
      <c r="F207" s="104">
        <v>6495</v>
      </c>
      <c r="G207" s="104">
        <f t="shared" si="7"/>
        <v>-4699</v>
      </c>
      <c r="H207" s="104">
        <v>650</v>
      </c>
      <c r="I207" s="107">
        <f t="shared" si="6"/>
        <v>-7.2292307692307691</v>
      </c>
      <c r="J207" s="104">
        <v>5.3199999999999997E-2</v>
      </c>
      <c r="K207" s="147">
        <v>8.7787879291047002</v>
      </c>
    </row>
    <row r="208" spans="3:11" hidden="1" x14ac:dyDescent="0.3">
      <c r="C208" s="146" t="s">
        <v>181</v>
      </c>
      <c r="D208" s="104" t="s">
        <v>50</v>
      </c>
      <c r="E208" s="104" t="s">
        <v>74</v>
      </c>
      <c r="F208" s="104">
        <v>420</v>
      </c>
      <c r="G208" s="104"/>
      <c r="H208" s="104">
        <v>68</v>
      </c>
      <c r="I208" s="107">
        <f t="shared" si="6"/>
        <v>0</v>
      </c>
      <c r="J208" s="104">
        <v>1.8499999999999999E-2</v>
      </c>
      <c r="K208" s="147">
        <v>6.0402547112774139</v>
      </c>
    </row>
    <row r="209" spans="3:11" hidden="1" x14ac:dyDescent="0.3">
      <c r="C209" s="146" t="s">
        <v>182</v>
      </c>
      <c r="D209" s="104" t="s">
        <v>50</v>
      </c>
      <c r="E209" s="104" t="s">
        <v>74</v>
      </c>
      <c r="F209" s="104">
        <v>580</v>
      </c>
      <c r="G209" s="104">
        <f t="shared" si="7"/>
        <v>160</v>
      </c>
      <c r="H209" s="104">
        <v>88</v>
      </c>
      <c r="I209" s="107">
        <f t="shared" si="6"/>
        <v>1.8181818181818181</v>
      </c>
      <c r="J209" s="104">
        <v>2.18E-2</v>
      </c>
      <c r="K209" s="147">
        <v>6.363028103540465</v>
      </c>
    </row>
    <row r="210" spans="3:11" hidden="1" x14ac:dyDescent="0.3">
      <c r="C210" s="146" t="s">
        <v>183</v>
      </c>
      <c r="D210" s="104" t="s">
        <v>50</v>
      </c>
      <c r="E210" s="104" t="s">
        <v>74</v>
      </c>
      <c r="F210" s="104">
        <v>950</v>
      </c>
      <c r="G210" s="104">
        <f t="shared" si="7"/>
        <v>370</v>
      </c>
      <c r="H210" s="104">
        <v>108</v>
      </c>
      <c r="I210" s="107">
        <f t="shared" si="6"/>
        <v>3.425925925925926</v>
      </c>
      <c r="J210" s="104">
        <v>2.4799999999999999E-2</v>
      </c>
      <c r="K210" s="147">
        <v>6.8564619845945867</v>
      </c>
    </row>
    <row r="211" spans="3:11" hidden="1" x14ac:dyDescent="0.3">
      <c r="C211" s="146" t="s">
        <v>184</v>
      </c>
      <c r="D211" s="104" t="s">
        <v>50</v>
      </c>
      <c r="E211" s="104" t="s">
        <v>74</v>
      </c>
      <c r="F211" s="104">
        <v>2800</v>
      </c>
      <c r="G211" s="104">
        <f t="shared" si="7"/>
        <v>1850</v>
      </c>
      <c r="H211" s="104">
        <v>128</v>
      </c>
      <c r="I211" s="107">
        <f t="shared" si="6"/>
        <v>14.453125</v>
      </c>
      <c r="J211" s="104">
        <v>2.7199999999999998E-2</v>
      </c>
      <c r="K211" s="147">
        <v>7.9373746961632952</v>
      </c>
    </row>
    <row r="212" spans="3:11" hidden="1" x14ac:dyDescent="0.3">
      <c r="C212" s="146" t="s">
        <v>185</v>
      </c>
      <c r="D212" s="104" t="s">
        <v>50</v>
      </c>
      <c r="E212" s="104" t="s">
        <v>74</v>
      </c>
      <c r="F212" s="104">
        <v>1800</v>
      </c>
      <c r="G212" s="104">
        <f t="shared" si="7"/>
        <v>-1000</v>
      </c>
      <c r="H212" s="104">
        <v>140</v>
      </c>
      <c r="I212" s="107">
        <f t="shared" si="6"/>
        <v>-7.1428571428571432</v>
      </c>
      <c r="J212" s="104">
        <v>2.8500000000000001E-2</v>
      </c>
      <c r="K212" s="147">
        <v>7.4955419438842563</v>
      </c>
    </row>
    <row r="213" spans="3:11" hidden="1" x14ac:dyDescent="0.3">
      <c r="C213" s="146" t="s">
        <v>186</v>
      </c>
      <c r="D213" s="104" t="s">
        <v>50</v>
      </c>
      <c r="E213" s="104" t="s">
        <v>74</v>
      </c>
      <c r="F213" s="104">
        <v>2800</v>
      </c>
      <c r="G213" s="104">
        <f t="shared" si="7"/>
        <v>1000</v>
      </c>
      <c r="H213" s="104">
        <v>150</v>
      </c>
      <c r="I213" s="107">
        <f t="shared" si="6"/>
        <v>6.666666666666667</v>
      </c>
      <c r="J213" s="104">
        <v>2.9000000000000001E-2</v>
      </c>
      <c r="K213" s="147">
        <v>7.9373746961632952</v>
      </c>
    </row>
    <row r="214" spans="3:11" hidden="1" x14ac:dyDescent="0.3">
      <c r="C214" s="146" t="s">
        <v>14</v>
      </c>
      <c r="D214" s="104" t="s">
        <v>50</v>
      </c>
      <c r="E214" s="104" t="s">
        <v>74</v>
      </c>
      <c r="F214" s="104">
        <v>3575</v>
      </c>
      <c r="G214" s="104">
        <f t="shared" si="7"/>
        <v>775</v>
      </c>
      <c r="H214" s="104">
        <v>161</v>
      </c>
      <c r="I214" s="107">
        <f t="shared" si="6"/>
        <v>4.8136645962732922</v>
      </c>
      <c r="J214" s="104">
        <v>2.93E-2</v>
      </c>
      <c r="K214" s="147">
        <v>8.181720455128108</v>
      </c>
    </row>
    <row r="215" spans="3:11" hidden="1" x14ac:dyDescent="0.3">
      <c r="C215" s="146" t="s">
        <v>64</v>
      </c>
      <c r="D215" s="104" t="s">
        <v>50</v>
      </c>
      <c r="E215" s="104" t="s">
        <v>74</v>
      </c>
      <c r="F215" s="104">
        <v>4285</v>
      </c>
      <c r="G215" s="104">
        <f t="shared" si="7"/>
        <v>710</v>
      </c>
      <c r="H215" s="104">
        <v>234</v>
      </c>
      <c r="I215" s="107">
        <f t="shared" si="6"/>
        <v>3.0341880341880341</v>
      </c>
      <c r="J215" s="104">
        <v>3.39E-2</v>
      </c>
      <c r="K215" s="147">
        <v>8.3628758310318805</v>
      </c>
    </row>
    <row r="216" spans="3:11" hidden="1" x14ac:dyDescent="0.3">
      <c r="C216" s="146" t="s">
        <v>65</v>
      </c>
      <c r="D216" s="104" t="s">
        <v>50</v>
      </c>
      <c r="E216" s="104" t="s">
        <v>74</v>
      </c>
      <c r="F216" s="104">
        <v>7959</v>
      </c>
      <c r="G216" s="104">
        <f t="shared" si="7"/>
        <v>3674</v>
      </c>
      <c r="H216" s="104">
        <v>262</v>
      </c>
      <c r="I216" s="107">
        <f t="shared" si="6"/>
        <v>14.022900763358779</v>
      </c>
      <c r="J216" s="104">
        <v>3.6600000000000001E-2</v>
      </c>
      <c r="K216" s="147">
        <v>8.9820586428058498</v>
      </c>
    </row>
    <row r="217" spans="3:11" hidden="1" x14ac:dyDescent="0.3">
      <c r="C217" s="146" t="s">
        <v>66</v>
      </c>
      <c r="D217" s="104" t="s">
        <v>50</v>
      </c>
      <c r="E217" s="104" t="s">
        <v>74</v>
      </c>
      <c r="F217" s="104">
        <v>5800</v>
      </c>
      <c r="G217" s="104">
        <f t="shared" si="7"/>
        <v>-2159</v>
      </c>
      <c r="H217" s="104">
        <v>290</v>
      </c>
      <c r="I217" s="107">
        <f t="shared" si="6"/>
        <v>-7.4448275862068964</v>
      </c>
      <c r="J217" s="104">
        <v>3.8100000000000002E-2</v>
      </c>
      <c r="K217" s="147">
        <v>8.66561319653451</v>
      </c>
    </row>
    <row r="218" spans="3:11" hidden="1" x14ac:dyDescent="0.3">
      <c r="C218" s="146" t="s">
        <v>181</v>
      </c>
      <c r="D218" s="104" t="s">
        <v>52</v>
      </c>
      <c r="E218" s="104" t="s">
        <v>72</v>
      </c>
      <c r="F218" s="104">
        <v>1850</v>
      </c>
      <c r="G218" s="104"/>
      <c r="H218" s="104">
        <v>80</v>
      </c>
      <c r="I218" s="107">
        <f t="shared" si="6"/>
        <v>0</v>
      </c>
      <c r="J218" s="104">
        <v>2.7199999999999998E-2</v>
      </c>
      <c r="K218" s="147">
        <v>7.5229409180723703</v>
      </c>
    </row>
    <row r="219" spans="3:11" hidden="1" x14ac:dyDescent="0.3">
      <c r="C219" s="146" t="s">
        <v>182</v>
      </c>
      <c r="D219" s="104" t="s">
        <v>52</v>
      </c>
      <c r="E219" s="104" t="s">
        <v>72</v>
      </c>
      <c r="F219" s="104">
        <v>2200</v>
      </c>
      <c r="G219" s="104">
        <f t="shared" si="7"/>
        <v>350</v>
      </c>
      <c r="H219" s="104">
        <v>88</v>
      </c>
      <c r="I219" s="107">
        <f t="shared" si="6"/>
        <v>3.9772727272727271</v>
      </c>
      <c r="J219" s="104">
        <v>2.8799999999999999E-2</v>
      </c>
      <c r="K219" s="147">
        <v>7.696212639346407</v>
      </c>
    </row>
    <row r="220" spans="3:11" hidden="1" x14ac:dyDescent="0.3">
      <c r="C220" s="146" t="s">
        <v>183</v>
      </c>
      <c r="D220" s="104" t="s">
        <v>52</v>
      </c>
      <c r="E220" s="104" t="s">
        <v>72</v>
      </c>
      <c r="F220" s="104">
        <v>3500</v>
      </c>
      <c r="G220" s="104">
        <f t="shared" si="7"/>
        <v>1300</v>
      </c>
      <c r="H220" s="104">
        <v>96</v>
      </c>
      <c r="I220" s="107">
        <f t="shared" si="6"/>
        <v>13.541666666666666</v>
      </c>
      <c r="J220" s="104">
        <v>3.0499999999999999E-2</v>
      </c>
      <c r="K220" s="147">
        <v>8.1605182474775049</v>
      </c>
    </row>
    <row r="221" spans="3:11" hidden="1" x14ac:dyDescent="0.3">
      <c r="C221" s="146" t="s">
        <v>184</v>
      </c>
      <c r="D221" s="104" t="s">
        <v>52</v>
      </c>
      <c r="E221" s="104" t="s">
        <v>72</v>
      </c>
      <c r="F221" s="104">
        <v>2800</v>
      </c>
      <c r="G221" s="104">
        <f t="shared" si="7"/>
        <v>-700</v>
      </c>
      <c r="H221" s="104">
        <v>104</v>
      </c>
      <c r="I221" s="107">
        <f t="shared" ref="I221:I277" si="8">G221/H221</f>
        <v>-6.7307692307692308</v>
      </c>
      <c r="J221" s="104">
        <v>3.1800000000000002E-2</v>
      </c>
      <c r="K221" s="147">
        <v>7.9373746961632952</v>
      </c>
    </row>
    <row r="222" spans="3:11" hidden="1" x14ac:dyDescent="0.3">
      <c r="C222" s="146" t="s">
        <v>185</v>
      </c>
      <c r="D222" s="104" t="s">
        <v>52</v>
      </c>
      <c r="E222" s="104" t="s">
        <v>72</v>
      </c>
      <c r="F222" s="104">
        <v>1600</v>
      </c>
      <c r="G222" s="104">
        <f t="shared" si="7"/>
        <v>-1200</v>
      </c>
      <c r="H222" s="104">
        <v>110</v>
      </c>
      <c r="I222" s="107">
        <f t="shared" si="8"/>
        <v>-10.909090909090908</v>
      </c>
      <c r="J222" s="104">
        <v>3.2800000000000003E-2</v>
      </c>
      <c r="K222" s="147">
        <v>7.3777589082278725</v>
      </c>
    </row>
    <row r="223" spans="3:11" hidden="1" x14ac:dyDescent="0.3">
      <c r="C223" s="146" t="s">
        <v>186</v>
      </c>
      <c r="D223" s="104" t="s">
        <v>52</v>
      </c>
      <c r="E223" s="104" t="s">
        <v>72</v>
      </c>
      <c r="F223" s="104">
        <v>1800</v>
      </c>
      <c r="G223" s="104">
        <f t="shared" si="7"/>
        <v>200</v>
      </c>
      <c r="H223" s="104">
        <v>115</v>
      </c>
      <c r="I223" s="107">
        <f t="shared" si="8"/>
        <v>1.7391304347826086</v>
      </c>
      <c r="J223" s="104">
        <v>3.32E-2</v>
      </c>
      <c r="K223" s="147">
        <v>7.4955419438842563</v>
      </c>
    </row>
    <row r="224" spans="3:11" hidden="1" x14ac:dyDescent="0.3">
      <c r="C224" s="146" t="s">
        <v>14</v>
      </c>
      <c r="D224" s="104" t="s">
        <v>52</v>
      </c>
      <c r="E224" s="104" t="s">
        <v>72</v>
      </c>
      <c r="F224" s="104">
        <v>2350</v>
      </c>
      <c r="G224" s="104">
        <f t="shared" si="7"/>
        <v>550</v>
      </c>
      <c r="H224" s="104">
        <v>123</v>
      </c>
      <c r="I224" s="107">
        <f t="shared" si="8"/>
        <v>4.4715447154471546</v>
      </c>
      <c r="J224" s="104">
        <v>3.3700000000000001E-2</v>
      </c>
      <c r="K224" s="147">
        <v>7.7621706071382048</v>
      </c>
    </row>
    <row r="225" spans="3:11" hidden="1" x14ac:dyDescent="0.3">
      <c r="C225" s="146" t="s">
        <v>64</v>
      </c>
      <c r="D225" s="104" t="s">
        <v>52</v>
      </c>
      <c r="E225" s="104" t="s">
        <v>72</v>
      </c>
      <c r="F225" s="104">
        <v>3352</v>
      </c>
      <c r="G225" s="104">
        <f t="shared" si="7"/>
        <v>1002</v>
      </c>
      <c r="H225" s="104">
        <v>169</v>
      </c>
      <c r="I225" s="107">
        <f t="shared" si="8"/>
        <v>5.9289940828402363</v>
      </c>
      <c r="J225" s="104">
        <v>3.7199999999999997E-2</v>
      </c>
      <c r="K225" s="147">
        <v>8.1173124616019745</v>
      </c>
    </row>
    <row r="226" spans="3:11" hidden="1" x14ac:dyDescent="0.3">
      <c r="C226" s="146" t="s">
        <v>65</v>
      </c>
      <c r="D226" s="104" t="s">
        <v>52</v>
      </c>
      <c r="E226" s="104" t="s">
        <v>72</v>
      </c>
      <c r="F226" s="104">
        <v>4558</v>
      </c>
      <c r="G226" s="104">
        <f t="shared" si="7"/>
        <v>1206</v>
      </c>
      <c r="H226" s="104">
        <v>180</v>
      </c>
      <c r="I226" s="107">
        <f t="shared" si="8"/>
        <v>6.7</v>
      </c>
      <c r="J226" s="104">
        <v>4.2200000000000001E-2</v>
      </c>
      <c r="K226" s="147">
        <v>8.4246392098056297</v>
      </c>
    </row>
    <row r="227" spans="3:11" hidden="1" x14ac:dyDescent="0.3">
      <c r="C227" s="146" t="s">
        <v>66</v>
      </c>
      <c r="D227" s="104" t="s">
        <v>52</v>
      </c>
      <c r="E227" s="104" t="s">
        <v>72</v>
      </c>
      <c r="F227" s="104">
        <v>4000</v>
      </c>
      <c r="G227" s="104">
        <f t="shared" si="7"/>
        <v>-558</v>
      </c>
      <c r="H227" s="104">
        <v>195</v>
      </c>
      <c r="I227" s="107">
        <f t="shared" si="8"/>
        <v>-2.8615384615384616</v>
      </c>
      <c r="J227" s="104">
        <v>4.41E-2</v>
      </c>
      <c r="K227" s="147">
        <v>8.2940496401020276</v>
      </c>
    </row>
    <row r="228" spans="3:11" hidden="1" x14ac:dyDescent="0.3">
      <c r="C228" s="146" t="s">
        <v>181</v>
      </c>
      <c r="D228" s="104" t="s">
        <v>54</v>
      </c>
      <c r="E228" s="104" t="s">
        <v>71</v>
      </c>
      <c r="F228" s="104">
        <v>128000</v>
      </c>
      <c r="G228" s="104"/>
      <c r="H228" s="104">
        <v>5200</v>
      </c>
      <c r="I228" s="107">
        <f t="shared" si="8"/>
        <v>0</v>
      </c>
      <c r="J228" s="104">
        <v>3.2500000000000001E-2</v>
      </c>
      <c r="K228" s="147">
        <v>11.759785542901755</v>
      </c>
    </row>
    <row r="229" spans="3:11" hidden="1" x14ac:dyDescent="0.3">
      <c r="C229" s="146" t="s">
        <v>182</v>
      </c>
      <c r="D229" s="104" t="s">
        <v>54</v>
      </c>
      <c r="E229" s="104" t="s">
        <v>71</v>
      </c>
      <c r="F229" s="104">
        <v>140000</v>
      </c>
      <c r="G229" s="104">
        <f t="shared" si="7"/>
        <v>12000</v>
      </c>
      <c r="H229" s="104">
        <v>5600</v>
      </c>
      <c r="I229" s="107">
        <f t="shared" si="8"/>
        <v>2.1428571428571428</v>
      </c>
      <c r="J229" s="104">
        <v>3.4200000000000001E-2</v>
      </c>
      <c r="K229" s="147">
        <v>11.849397701591441</v>
      </c>
    </row>
    <row r="230" spans="3:11" hidden="1" x14ac:dyDescent="0.3">
      <c r="C230" s="146" t="s">
        <v>183</v>
      </c>
      <c r="D230" s="104" t="s">
        <v>54</v>
      </c>
      <c r="E230" s="104" t="s">
        <v>71</v>
      </c>
      <c r="F230" s="104">
        <v>175000</v>
      </c>
      <c r="G230" s="104">
        <f t="shared" si="7"/>
        <v>35000</v>
      </c>
      <c r="H230" s="104">
        <v>6100</v>
      </c>
      <c r="I230" s="107">
        <f t="shared" si="8"/>
        <v>5.7377049180327866</v>
      </c>
      <c r="J230" s="104">
        <v>3.6200000000000003E-2</v>
      </c>
      <c r="K230" s="147">
        <v>12.072541252905651</v>
      </c>
    </row>
    <row r="231" spans="3:11" hidden="1" x14ac:dyDescent="0.3">
      <c r="C231" s="146" t="s">
        <v>184</v>
      </c>
      <c r="D231" s="104" t="s">
        <v>54</v>
      </c>
      <c r="E231" s="104" t="s">
        <v>71</v>
      </c>
      <c r="F231" s="104">
        <v>185000</v>
      </c>
      <c r="G231" s="104">
        <f t="shared" si="7"/>
        <v>10000</v>
      </c>
      <c r="H231" s="104">
        <v>6500</v>
      </c>
      <c r="I231" s="107">
        <f t="shared" si="8"/>
        <v>1.5384615384615385</v>
      </c>
      <c r="J231" s="104">
        <v>3.7999999999999999E-2</v>
      </c>
      <c r="K231" s="147">
        <v>12.128111104060462</v>
      </c>
    </row>
    <row r="232" spans="3:11" hidden="1" x14ac:dyDescent="0.3">
      <c r="C232" s="146" t="s">
        <v>185</v>
      </c>
      <c r="D232" s="104" t="s">
        <v>54</v>
      </c>
      <c r="E232" s="104" t="s">
        <v>71</v>
      </c>
      <c r="F232" s="104">
        <v>145000</v>
      </c>
      <c r="G232" s="104">
        <f t="shared" ref="G232:G277" si="9">F232-F231</f>
        <v>-40000</v>
      </c>
      <c r="H232" s="104">
        <v>6800</v>
      </c>
      <c r="I232" s="107">
        <f t="shared" si="8"/>
        <v>-5.882352941176471</v>
      </c>
      <c r="J232" s="104">
        <v>3.95E-2</v>
      </c>
      <c r="K232" s="147">
        <v>11.884489021402711</v>
      </c>
    </row>
    <row r="233" spans="3:11" hidden="1" x14ac:dyDescent="0.3">
      <c r="C233" s="146" t="s">
        <v>186</v>
      </c>
      <c r="D233" s="104" t="s">
        <v>54</v>
      </c>
      <c r="E233" s="104" t="s">
        <v>71</v>
      </c>
      <c r="F233" s="104">
        <v>188000</v>
      </c>
      <c r="G233" s="104">
        <f t="shared" si="9"/>
        <v>43000</v>
      </c>
      <c r="H233" s="104">
        <v>6900</v>
      </c>
      <c r="I233" s="107">
        <f t="shared" si="8"/>
        <v>6.2318840579710146</v>
      </c>
      <c r="J233" s="104">
        <v>3.5200000000000002E-2</v>
      </c>
      <c r="K233" s="147">
        <v>12.144197241812087</v>
      </c>
    </row>
    <row r="234" spans="3:11" hidden="1" x14ac:dyDescent="0.3">
      <c r="C234" s="146" t="s">
        <v>14</v>
      </c>
      <c r="D234" s="104" t="s">
        <v>54</v>
      </c>
      <c r="E234" s="104" t="s">
        <v>71</v>
      </c>
      <c r="F234" s="104">
        <v>293100</v>
      </c>
      <c r="G234" s="104">
        <f t="shared" si="9"/>
        <v>105100</v>
      </c>
      <c r="H234" s="104">
        <v>6965</v>
      </c>
      <c r="I234" s="107">
        <f t="shared" si="8"/>
        <v>15.089734386216799</v>
      </c>
      <c r="J234" s="104">
        <v>3.5700000000000003E-2</v>
      </c>
      <c r="K234" s="147">
        <v>12.588269126698984</v>
      </c>
    </row>
    <row r="235" spans="3:11" hidden="1" x14ac:dyDescent="0.3">
      <c r="C235" s="146" t="s">
        <v>64</v>
      </c>
      <c r="D235" s="104" t="s">
        <v>54</v>
      </c>
      <c r="E235" s="104" t="s">
        <v>71</v>
      </c>
      <c r="F235" s="104">
        <v>485100</v>
      </c>
      <c r="G235" s="104">
        <f t="shared" si="9"/>
        <v>192000</v>
      </c>
      <c r="H235" s="104">
        <v>8521</v>
      </c>
      <c r="I235" s="107">
        <f t="shared" si="8"/>
        <v>22.532566600164301</v>
      </c>
      <c r="J235" s="104">
        <v>4.24E-2</v>
      </c>
      <c r="K235" s="147">
        <v>13.092110334233308</v>
      </c>
    </row>
    <row r="236" spans="3:11" hidden="1" x14ac:dyDescent="0.3">
      <c r="C236" s="146" t="s">
        <v>65</v>
      </c>
      <c r="D236" s="104" t="s">
        <v>54</v>
      </c>
      <c r="E236" s="104" t="s">
        <v>71</v>
      </c>
      <c r="F236" s="104">
        <v>498400</v>
      </c>
      <c r="G236" s="104">
        <f t="shared" si="9"/>
        <v>13300</v>
      </c>
      <c r="H236" s="104">
        <v>10752</v>
      </c>
      <c r="I236" s="107">
        <f t="shared" si="8"/>
        <v>1.2369791666666667</v>
      </c>
      <c r="J236" s="104">
        <v>4.8000000000000001E-2</v>
      </c>
      <c r="K236" s="147">
        <v>13.119158246455381</v>
      </c>
    </row>
    <row r="237" spans="3:11" hidden="1" x14ac:dyDescent="0.3">
      <c r="C237" s="146" t="s">
        <v>66</v>
      </c>
      <c r="D237" s="104" t="s">
        <v>54</v>
      </c>
      <c r="E237" s="104" t="s">
        <v>71</v>
      </c>
      <c r="F237" s="104">
        <v>556300</v>
      </c>
      <c r="G237" s="104">
        <f t="shared" si="9"/>
        <v>57900</v>
      </c>
      <c r="H237" s="104">
        <v>11248</v>
      </c>
      <c r="I237" s="107">
        <f t="shared" si="8"/>
        <v>5.1475817923186344</v>
      </c>
      <c r="J237" s="104">
        <v>5.21E-2</v>
      </c>
      <c r="K237" s="147">
        <v>13.229062996063385</v>
      </c>
    </row>
    <row r="238" spans="3:11" hidden="1" x14ac:dyDescent="0.3">
      <c r="C238" s="146" t="s">
        <v>181</v>
      </c>
      <c r="D238" s="104" t="s">
        <v>56</v>
      </c>
      <c r="E238" s="104" t="s">
        <v>69</v>
      </c>
      <c r="F238" s="104">
        <v>1500</v>
      </c>
      <c r="G238" s="104"/>
      <c r="H238" s="104">
        <v>2800</v>
      </c>
      <c r="I238" s="107">
        <f t="shared" si="8"/>
        <v>0</v>
      </c>
      <c r="J238" s="104">
        <v>6.8199999999999997E-2</v>
      </c>
      <c r="K238" s="147">
        <v>7.3132203870903014</v>
      </c>
    </row>
    <row r="239" spans="3:11" hidden="1" x14ac:dyDescent="0.3">
      <c r="C239" s="146" t="s">
        <v>182</v>
      </c>
      <c r="D239" s="104" t="s">
        <v>56</v>
      </c>
      <c r="E239" s="104" t="s">
        <v>69</v>
      </c>
      <c r="F239" s="104">
        <v>2200</v>
      </c>
      <c r="G239" s="104">
        <f t="shared" si="9"/>
        <v>700</v>
      </c>
      <c r="H239" s="104">
        <v>4200</v>
      </c>
      <c r="I239" s="107">
        <f t="shared" si="8"/>
        <v>0.16666666666666666</v>
      </c>
      <c r="J239" s="104">
        <v>8.5199999999999998E-2</v>
      </c>
      <c r="K239" s="147">
        <v>7.696212639346407</v>
      </c>
    </row>
    <row r="240" spans="3:11" hidden="1" x14ac:dyDescent="0.3">
      <c r="C240" s="146" t="s">
        <v>183</v>
      </c>
      <c r="D240" s="104" t="s">
        <v>56</v>
      </c>
      <c r="E240" s="104" t="s">
        <v>69</v>
      </c>
      <c r="F240" s="104">
        <v>8500</v>
      </c>
      <c r="G240" s="104">
        <f t="shared" si="9"/>
        <v>6300</v>
      </c>
      <c r="H240" s="104">
        <v>6200</v>
      </c>
      <c r="I240" s="107">
        <f t="shared" si="8"/>
        <v>1.0161290322580645</v>
      </c>
      <c r="J240" s="104">
        <v>9.8500000000000004E-2</v>
      </c>
      <c r="K240" s="147">
        <v>9.0478214424784085</v>
      </c>
    </row>
    <row r="241" spans="3:11" hidden="1" x14ac:dyDescent="0.3">
      <c r="C241" s="146" t="s">
        <v>184</v>
      </c>
      <c r="D241" s="104" t="s">
        <v>56</v>
      </c>
      <c r="E241" s="104" t="s">
        <v>69</v>
      </c>
      <c r="F241" s="104">
        <v>28000</v>
      </c>
      <c r="G241" s="104">
        <f t="shared" si="9"/>
        <v>19500</v>
      </c>
      <c r="H241" s="104">
        <v>7800</v>
      </c>
      <c r="I241" s="107">
        <f t="shared" si="8"/>
        <v>2.5</v>
      </c>
      <c r="J241" s="104">
        <v>0.1085</v>
      </c>
      <c r="K241" s="147">
        <v>10.239959789157341</v>
      </c>
    </row>
    <row r="242" spans="3:11" hidden="1" x14ac:dyDescent="0.3">
      <c r="C242" s="146" t="s">
        <v>185</v>
      </c>
      <c r="D242" s="104" t="s">
        <v>56</v>
      </c>
      <c r="E242" s="104" t="s">
        <v>69</v>
      </c>
      <c r="F242" s="104">
        <v>50000</v>
      </c>
      <c r="G242" s="104">
        <f t="shared" si="9"/>
        <v>22000</v>
      </c>
      <c r="H242" s="104">
        <v>9200</v>
      </c>
      <c r="I242" s="107">
        <f t="shared" si="8"/>
        <v>2.3913043478260869</v>
      </c>
      <c r="J242" s="104">
        <v>0.1125</v>
      </c>
      <c r="K242" s="147">
        <v>10.819778284410283</v>
      </c>
    </row>
    <row r="243" spans="3:11" hidden="1" x14ac:dyDescent="0.3">
      <c r="C243" s="146" t="s">
        <v>186</v>
      </c>
      <c r="D243" s="104" t="s">
        <v>56</v>
      </c>
      <c r="E243" s="104" t="s">
        <v>69</v>
      </c>
      <c r="F243" s="104">
        <v>155000</v>
      </c>
      <c r="G243" s="104">
        <f t="shared" si="9"/>
        <v>105000</v>
      </c>
      <c r="H243" s="104">
        <v>10500</v>
      </c>
      <c r="I243" s="107">
        <f t="shared" si="8"/>
        <v>10</v>
      </c>
      <c r="J243" s="104">
        <v>0.1285</v>
      </c>
      <c r="K243" s="147">
        <v>11.951180395901384</v>
      </c>
    </row>
    <row r="244" spans="3:11" hidden="1" x14ac:dyDescent="0.3">
      <c r="C244" s="146" t="s">
        <v>14</v>
      </c>
      <c r="D244" s="104" t="s">
        <v>56</v>
      </c>
      <c r="E244" s="104" t="s">
        <v>69</v>
      </c>
      <c r="F244" s="104">
        <v>306000</v>
      </c>
      <c r="G244" s="104">
        <f t="shared" si="9"/>
        <v>151000</v>
      </c>
      <c r="H244" s="104">
        <v>11362</v>
      </c>
      <c r="I244" s="107">
        <f t="shared" si="8"/>
        <v>13.289913747579652</v>
      </c>
      <c r="J244" s="104">
        <v>0.1459</v>
      </c>
      <c r="K244" s="147">
        <v>12.631340380934517</v>
      </c>
    </row>
    <row r="245" spans="3:11" hidden="1" x14ac:dyDescent="0.3">
      <c r="C245" s="146" t="s">
        <v>64</v>
      </c>
      <c r="D245" s="104" t="s">
        <v>56</v>
      </c>
      <c r="E245" s="104" t="s">
        <v>69</v>
      </c>
      <c r="F245" s="104">
        <v>253200</v>
      </c>
      <c r="G245" s="104">
        <f t="shared" si="9"/>
        <v>-52800</v>
      </c>
      <c r="H245" s="104">
        <v>17289</v>
      </c>
      <c r="I245" s="107">
        <f t="shared" si="8"/>
        <v>-3.0539649488113829</v>
      </c>
      <c r="J245" s="104">
        <v>0.1691</v>
      </c>
      <c r="K245" s="147">
        <v>12.441934969252157</v>
      </c>
    </row>
    <row r="246" spans="3:11" hidden="1" x14ac:dyDescent="0.3">
      <c r="C246" s="146" t="s">
        <v>65</v>
      </c>
      <c r="D246" s="104" t="s">
        <v>56</v>
      </c>
      <c r="E246" s="104" t="s">
        <v>69</v>
      </c>
      <c r="F246" s="104">
        <v>167700</v>
      </c>
      <c r="G246" s="104">
        <f t="shared" si="9"/>
        <v>-85500</v>
      </c>
      <c r="H246" s="104">
        <v>19862</v>
      </c>
      <c r="I246" s="107">
        <f t="shared" si="8"/>
        <v>-4.3047024468834962</v>
      </c>
      <c r="J246" s="104">
        <v>0.18559999999999999</v>
      </c>
      <c r="K246" s="147">
        <v>12.029931947811301</v>
      </c>
    </row>
    <row r="247" spans="3:11" hidden="1" x14ac:dyDescent="0.3">
      <c r="C247" s="146" t="s">
        <v>66</v>
      </c>
      <c r="D247" s="104" t="s">
        <v>56</v>
      </c>
      <c r="E247" s="104" t="s">
        <v>69</v>
      </c>
      <c r="F247" s="104">
        <v>167600</v>
      </c>
      <c r="G247" s="104">
        <f t="shared" si="9"/>
        <v>-100</v>
      </c>
      <c r="H247" s="104">
        <v>21987</v>
      </c>
      <c r="I247" s="107">
        <f t="shared" si="8"/>
        <v>-4.5481420839587026E-3</v>
      </c>
      <c r="J247" s="104">
        <v>0.21010000000000001</v>
      </c>
      <c r="K247" s="147">
        <v>12.029335467030119</v>
      </c>
    </row>
    <row r="248" spans="3:11" hidden="1" x14ac:dyDescent="0.3">
      <c r="C248" s="146" t="s">
        <v>181</v>
      </c>
      <c r="D248" s="104" t="s">
        <v>58</v>
      </c>
      <c r="E248" s="104" t="s">
        <v>59</v>
      </c>
      <c r="F248" s="104">
        <v>3200</v>
      </c>
      <c r="G248" s="104"/>
      <c r="H248" s="104">
        <v>28</v>
      </c>
      <c r="I248" s="107">
        <f t="shared" si="8"/>
        <v>0</v>
      </c>
      <c r="J248" s="104">
        <v>2.8500000000000001E-3</v>
      </c>
      <c r="K248" s="147">
        <v>8.0709060887878188</v>
      </c>
    </row>
    <row r="249" spans="3:11" hidden="1" x14ac:dyDescent="0.3">
      <c r="C249" s="146" t="s">
        <v>182</v>
      </c>
      <c r="D249" s="104" t="s">
        <v>58</v>
      </c>
      <c r="E249" s="104" t="s">
        <v>59</v>
      </c>
      <c r="F249" s="104">
        <v>3800</v>
      </c>
      <c r="G249" s="104">
        <f t="shared" si="9"/>
        <v>600</v>
      </c>
      <c r="H249" s="104">
        <v>18</v>
      </c>
      <c r="I249" s="107">
        <f t="shared" si="8"/>
        <v>33.333333333333336</v>
      </c>
      <c r="J249" s="104">
        <v>1.82E-3</v>
      </c>
      <c r="K249" s="147">
        <v>8.2427563457144775</v>
      </c>
    </row>
    <row r="250" spans="3:11" hidden="1" x14ac:dyDescent="0.3">
      <c r="C250" s="146" t="s">
        <v>183</v>
      </c>
      <c r="D250" s="104" t="s">
        <v>58</v>
      </c>
      <c r="E250" s="104" t="s">
        <v>59</v>
      </c>
      <c r="F250" s="104">
        <v>4200</v>
      </c>
      <c r="G250" s="104">
        <f t="shared" si="9"/>
        <v>400</v>
      </c>
      <c r="H250" s="104">
        <v>22</v>
      </c>
      <c r="I250" s="107">
        <f t="shared" si="8"/>
        <v>18.181818181818183</v>
      </c>
      <c r="J250" s="104">
        <v>2.1800000000000001E-3</v>
      </c>
      <c r="K250" s="147">
        <v>8.3428398042714598</v>
      </c>
    </row>
    <row r="251" spans="3:11" hidden="1" x14ac:dyDescent="0.3">
      <c r="C251" s="146" t="s">
        <v>184</v>
      </c>
      <c r="D251" s="104" t="s">
        <v>58</v>
      </c>
      <c r="E251" s="104" t="s">
        <v>59</v>
      </c>
      <c r="F251" s="104">
        <v>4500</v>
      </c>
      <c r="G251" s="104">
        <f t="shared" si="9"/>
        <v>300</v>
      </c>
      <c r="H251" s="104">
        <v>25</v>
      </c>
      <c r="I251" s="107">
        <f t="shared" si="8"/>
        <v>12</v>
      </c>
      <c r="J251" s="104">
        <v>2.4499999999999999E-3</v>
      </c>
      <c r="K251" s="147">
        <v>8.4118326757584114</v>
      </c>
    </row>
    <row r="252" spans="3:11" hidden="1" x14ac:dyDescent="0.3">
      <c r="C252" s="146" t="s">
        <v>185</v>
      </c>
      <c r="D252" s="104" t="s">
        <v>58</v>
      </c>
      <c r="E252" s="104" t="s">
        <v>59</v>
      </c>
      <c r="F252" s="104">
        <v>3200</v>
      </c>
      <c r="G252" s="104">
        <f t="shared" si="9"/>
        <v>-1300</v>
      </c>
      <c r="H252" s="104">
        <v>20</v>
      </c>
      <c r="I252" s="107">
        <f t="shared" si="8"/>
        <v>-65</v>
      </c>
      <c r="J252" s="104">
        <v>1.98E-3</v>
      </c>
      <c r="K252" s="147">
        <v>8.0709060887878188</v>
      </c>
    </row>
    <row r="253" spans="3:11" hidden="1" x14ac:dyDescent="0.3">
      <c r="C253" s="146" t="s">
        <v>186</v>
      </c>
      <c r="D253" s="104" t="s">
        <v>58</v>
      </c>
      <c r="E253" s="104" t="s">
        <v>59</v>
      </c>
      <c r="F253" s="104">
        <v>3800</v>
      </c>
      <c r="G253" s="104">
        <f t="shared" si="9"/>
        <v>600</v>
      </c>
      <c r="H253" s="104">
        <v>18</v>
      </c>
      <c r="I253" s="107">
        <f t="shared" si="8"/>
        <v>33.333333333333336</v>
      </c>
      <c r="J253" s="104">
        <v>1.7799999999999999E-3</v>
      </c>
      <c r="K253" s="147">
        <v>8.2427563457144775</v>
      </c>
    </row>
    <row r="254" spans="3:11" hidden="1" x14ac:dyDescent="0.3">
      <c r="C254" s="146" t="s">
        <v>14</v>
      </c>
      <c r="D254" s="104" t="s">
        <v>58</v>
      </c>
      <c r="E254" s="104" t="s">
        <v>59</v>
      </c>
      <c r="F254" s="104">
        <v>3799.5239999999999</v>
      </c>
      <c r="G254" s="104">
        <f t="shared" si="9"/>
        <v>-0.47600000000011278</v>
      </c>
      <c r="H254" s="104">
        <v>0</v>
      </c>
      <c r="I254" s="107">
        <v>0</v>
      </c>
      <c r="J254" s="104">
        <v>0</v>
      </c>
      <c r="K254" s="147">
        <v>8.2426310747104985</v>
      </c>
    </row>
    <row r="255" spans="3:11" hidden="1" x14ac:dyDescent="0.3">
      <c r="C255" s="146" t="s">
        <v>64</v>
      </c>
      <c r="D255" s="104" t="s">
        <v>58</v>
      </c>
      <c r="E255" s="104" t="s">
        <v>59</v>
      </c>
      <c r="F255" s="104">
        <v>5629.1930000000002</v>
      </c>
      <c r="G255" s="104">
        <f t="shared" si="9"/>
        <v>1829.6690000000003</v>
      </c>
      <c r="H255" s="104">
        <v>0</v>
      </c>
      <c r="I255" s="107">
        <v>0</v>
      </c>
      <c r="J255" s="104">
        <v>0</v>
      </c>
      <c r="K255" s="147">
        <v>8.6357213716056869</v>
      </c>
    </row>
    <row r="256" spans="3:11" hidden="1" x14ac:dyDescent="0.3">
      <c r="C256" s="146" t="s">
        <v>65</v>
      </c>
      <c r="D256" s="104" t="s">
        <v>58</v>
      </c>
      <c r="E256" s="104" t="s">
        <v>59</v>
      </c>
      <c r="F256" s="104">
        <v>10393.1</v>
      </c>
      <c r="G256" s="104">
        <f t="shared" si="9"/>
        <v>4763.9070000000002</v>
      </c>
      <c r="H256" s="104">
        <v>0</v>
      </c>
      <c r="I256" s="107">
        <v>0</v>
      </c>
      <c r="J256" s="104">
        <v>0</v>
      </c>
      <c r="K256" s="147">
        <v>9.2488974034029994</v>
      </c>
    </row>
    <row r="257" spans="3:11" hidden="1" x14ac:dyDescent="0.3">
      <c r="C257" s="146" t="s">
        <v>66</v>
      </c>
      <c r="D257" s="104" t="s">
        <v>58</v>
      </c>
      <c r="E257" s="104" t="s">
        <v>59</v>
      </c>
      <c r="F257" s="104">
        <v>6675.2706000000007</v>
      </c>
      <c r="G257" s="104">
        <f t="shared" si="9"/>
        <v>-3717.8293999999996</v>
      </c>
      <c r="H257" s="104">
        <v>0.25</v>
      </c>
      <c r="I257" s="107">
        <f t="shared" si="8"/>
        <v>-14871.317599999998</v>
      </c>
      <c r="J257" s="104">
        <v>1.672522726238804E-4</v>
      </c>
      <c r="K257" s="147">
        <v>8.8061650217725962</v>
      </c>
    </row>
    <row r="258" spans="3:11" hidden="1" x14ac:dyDescent="0.3">
      <c r="C258" s="146" t="s">
        <v>181</v>
      </c>
      <c r="D258" s="104" t="s">
        <v>60</v>
      </c>
      <c r="E258" s="104" t="s">
        <v>73</v>
      </c>
      <c r="F258" s="104">
        <v>2800</v>
      </c>
      <c r="G258" s="104"/>
      <c r="H258" s="104">
        <v>480</v>
      </c>
      <c r="I258" s="107">
        <f t="shared" si="8"/>
        <v>0</v>
      </c>
      <c r="J258" s="104">
        <v>6.88E-2</v>
      </c>
      <c r="K258" s="147">
        <v>7.9373746961632952</v>
      </c>
    </row>
    <row r="259" spans="3:11" hidden="1" x14ac:dyDescent="0.3">
      <c r="C259" s="146" t="s">
        <v>182</v>
      </c>
      <c r="D259" s="104" t="s">
        <v>60</v>
      </c>
      <c r="E259" s="104" t="s">
        <v>73</v>
      </c>
      <c r="F259" s="104">
        <v>5200</v>
      </c>
      <c r="G259" s="104">
        <f t="shared" si="9"/>
        <v>2400</v>
      </c>
      <c r="H259" s="104">
        <v>620</v>
      </c>
      <c r="I259" s="107">
        <f t="shared" si="8"/>
        <v>3.870967741935484</v>
      </c>
      <c r="J259" s="104">
        <v>7.8200000000000006E-2</v>
      </c>
      <c r="K259" s="147">
        <v>8.5564139045695189</v>
      </c>
    </row>
    <row r="260" spans="3:11" hidden="1" x14ac:dyDescent="0.3">
      <c r="C260" s="146" t="s">
        <v>183</v>
      </c>
      <c r="D260" s="104" t="s">
        <v>60</v>
      </c>
      <c r="E260" s="104" t="s">
        <v>73</v>
      </c>
      <c r="F260" s="104">
        <v>12000</v>
      </c>
      <c r="G260" s="104">
        <f t="shared" si="9"/>
        <v>6800</v>
      </c>
      <c r="H260" s="104">
        <v>780</v>
      </c>
      <c r="I260" s="107">
        <f t="shared" si="8"/>
        <v>8.7179487179487172</v>
      </c>
      <c r="J260" s="104">
        <v>8.8499999999999995E-2</v>
      </c>
      <c r="K260" s="147">
        <v>9.3926619287701367</v>
      </c>
    </row>
    <row r="261" spans="3:11" hidden="1" x14ac:dyDescent="0.3">
      <c r="C261" s="146" t="s">
        <v>184</v>
      </c>
      <c r="D261" s="104" t="s">
        <v>60</v>
      </c>
      <c r="E261" s="104" t="s">
        <v>73</v>
      </c>
      <c r="F261" s="104">
        <v>42000</v>
      </c>
      <c r="G261" s="104">
        <f t="shared" si="9"/>
        <v>30000</v>
      </c>
      <c r="H261" s="104">
        <v>920</v>
      </c>
      <c r="I261" s="107">
        <f t="shared" si="8"/>
        <v>32.608695652173914</v>
      </c>
      <c r="J261" s="104">
        <v>9.8500000000000004E-2</v>
      </c>
      <c r="K261" s="147">
        <v>10.645424897265505</v>
      </c>
    </row>
    <row r="262" spans="3:11" hidden="1" x14ac:dyDescent="0.3">
      <c r="C262" s="146" t="s">
        <v>185</v>
      </c>
      <c r="D262" s="104" t="s">
        <v>60</v>
      </c>
      <c r="E262" s="104" t="s">
        <v>73</v>
      </c>
      <c r="F262" s="104">
        <v>45000</v>
      </c>
      <c r="G262" s="104">
        <f t="shared" si="9"/>
        <v>3000</v>
      </c>
      <c r="H262" s="104">
        <v>1050</v>
      </c>
      <c r="I262" s="107">
        <f t="shared" si="8"/>
        <v>2.8571428571428572</v>
      </c>
      <c r="J262" s="104">
        <v>0.1052</v>
      </c>
      <c r="K262" s="147">
        <v>10.714417768752456</v>
      </c>
    </row>
    <row r="263" spans="3:11" hidden="1" x14ac:dyDescent="0.3">
      <c r="C263" s="146" t="s">
        <v>186</v>
      </c>
      <c r="D263" s="104" t="s">
        <v>60</v>
      </c>
      <c r="E263" s="104" t="s">
        <v>73</v>
      </c>
      <c r="F263" s="104">
        <v>98000</v>
      </c>
      <c r="G263" s="104">
        <f t="shared" si="9"/>
        <v>53000</v>
      </c>
      <c r="H263" s="104">
        <v>1120</v>
      </c>
      <c r="I263" s="107">
        <f t="shared" si="8"/>
        <v>47.321428571428569</v>
      </c>
      <c r="J263" s="104">
        <v>0.1125</v>
      </c>
      <c r="K263" s="147">
        <v>11.492722757652709</v>
      </c>
    </row>
    <row r="264" spans="3:11" hidden="1" x14ac:dyDescent="0.3">
      <c r="C264" s="146" t="s">
        <v>14</v>
      </c>
      <c r="D264" s="104" t="s">
        <v>60</v>
      </c>
      <c r="E264" s="104" t="s">
        <v>73</v>
      </c>
      <c r="F264" s="104">
        <v>247345.02000000002</v>
      </c>
      <c r="G264" s="104">
        <f t="shared" si="9"/>
        <v>149345.02000000002</v>
      </c>
      <c r="H264" s="104">
        <v>1200</v>
      </c>
      <c r="I264" s="107">
        <f t="shared" si="8"/>
        <v>124.45418333333335</v>
      </c>
      <c r="J264" s="104">
        <v>0.15791551519936833</v>
      </c>
      <c r="K264" s="147">
        <v>12.418539483038984</v>
      </c>
    </row>
    <row r="265" spans="3:11" hidden="1" x14ac:dyDescent="0.3">
      <c r="C265" s="146" t="s">
        <v>64</v>
      </c>
      <c r="D265" s="104" t="s">
        <v>60</v>
      </c>
      <c r="E265" s="104" t="s">
        <v>73</v>
      </c>
      <c r="F265" s="104">
        <v>95435.145000000004</v>
      </c>
      <c r="G265" s="104">
        <f t="shared" si="9"/>
        <v>-151909.875</v>
      </c>
      <c r="H265" s="104">
        <v>1150</v>
      </c>
      <c r="I265" s="107">
        <f t="shared" si="8"/>
        <v>-132.09554347826088</v>
      </c>
      <c r="J265" s="104">
        <v>0.1762722256284488</v>
      </c>
      <c r="K265" s="147">
        <v>11.466202185821563</v>
      </c>
    </row>
    <row r="266" spans="3:11" hidden="1" x14ac:dyDescent="0.3">
      <c r="C266" s="146" t="s">
        <v>65</v>
      </c>
      <c r="D266" s="104" t="s">
        <v>60</v>
      </c>
      <c r="E266" s="104" t="s">
        <v>73</v>
      </c>
      <c r="F266" s="104">
        <v>102061.44</v>
      </c>
      <c r="G266" s="104">
        <f t="shared" si="9"/>
        <v>6626.2949999999983</v>
      </c>
      <c r="H266" s="104">
        <v>689</v>
      </c>
      <c r="I266" s="107">
        <f t="shared" si="8"/>
        <v>9.6172641509433934</v>
      </c>
      <c r="J266" s="104">
        <v>0.12224982256919802</v>
      </c>
      <c r="K266" s="147">
        <v>11.533330263865869</v>
      </c>
    </row>
    <row r="267" spans="3:11" hidden="1" x14ac:dyDescent="0.3">
      <c r="C267" s="146" t="s">
        <v>66</v>
      </c>
      <c r="D267" s="104" t="s">
        <v>60</v>
      </c>
      <c r="E267" s="104" t="s">
        <v>73</v>
      </c>
      <c r="F267" s="104">
        <v>66207.960000000006</v>
      </c>
      <c r="G267" s="104">
        <f t="shared" si="9"/>
        <v>-35853.479999999996</v>
      </c>
      <c r="H267" s="104">
        <v>835</v>
      </c>
      <c r="I267" s="107">
        <f t="shared" si="8"/>
        <v>-42.938299401197597</v>
      </c>
      <c r="J267" s="104">
        <v>0.18853014224429893</v>
      </c>
      <c r="K267" s="147">
        <v>11.10055597638849</v>
      </c>
    </row>
    <row r="268" spans="3:11" hidden="1" x14ac:dyDescent="0.3">
      <c r="C268" s="146" t="s">
        <v>181</v>
      </c>
      <c r="D268" s="104" t="s">
        <v>62</v>
      </c>
      <c r="E268" s="104" t="s">
        <v>73</v>
      </c>
      <c r="F268" s="104">
        <v>35000</v>
      </c>
      <c r="G268" s="104"/>
      <c r="H268" s="104">
        <v>1850</v>
      </c>
      <c r="I268" s="107">
        <f t="shared" si="8"/>
        <v>0</v>
      </c>
      <c r="J268" s="104">
        <v>4.4200000000000003E-2</v>
      </c>
      <c r="K268" s="147">
        <v>10.46310334047155</v>
      </c>
    </row>
    <row r="269" spans="3:11" hidden="1" x14ac:dyDescent="0.3">
      <c r="C269" s="146" t="s">
        <v>182</v>
      </c>
      <c r="D269" s="104" t="s">
        <v>62</v>
      </c>
      <c r="E269" s="104" t="s">
        <v>73</v>
      </c>
      <c r="F269" s="104">
        <v>38000</v>
      </c>
      <c r="G269" s="104">
        <f t="shared" si="9"/>
        <v>3000</v>
      </c>
      <c r="H269" s="104">
        <v>2050</v>
      </c>
      <c r="I269" s="107">
        <f t="shared" si="8"/>
        <v>1.4634146341463414</v>
      </c>
      <c r="J269" s="104">
        <v>4.6800000000000001E-2</v>
      </c>
      <c r="K269" s="147">
        <v>10.545341438708522</v>
      </c>
    </row>
    <row r="270" spans="3:11" hidden="1" x14ac:dyDescent="0.3">
      <c r="C270" s="146" t="s">
        <v>183</v>
      </c>
      <c r="D270" s="104" t="s">
        <v>62</v>
      </c>
      <c r="E270" s="104" t="s">
        <v>73</v>
      </c>
      <c r="F270" s="104">
        <v>42000</v>
      </c>
      <c r="G270" s="104">
        <f t="shared" si="9"/>
        <v>4000</v>
      </c>
      <c r="H270" s="104">
        <v>2250</v>
      </c>
      <c r="I270" s="107">
        <f t="shared" si="8"/>
        <v>1.7777777777777777</v>
      </c>
      <c r="J270" s="104">
        <v>4.9500000000000002E-2</v>
      </c>
      <c r="K270" s="147">
        <v>10.645424897265505</v>
      </c>
    </row>
    <row r="271" spans="3:11" hidden="1" x14ac:dyDescent="0.3">
      <c r="C271" s="146" t="s">
        <v>184</v>
      </c>
      <c r="D271" s="104" t="s">
        <v>62</v>
      </c>
      <c r="E271" s="104" t="s">
        <v>73</v>
      </c>
      <c r="F271" s="104">
        <v>48000</v>
      </c>
      <c r="G271" s="104">
        <f t="shared" si="9"/>
        <v>6000</v>
      </c>
      <c r="H271" s="104">
        <v>2450</v>
      </c>
      <c r="I271" s="107">
        <f t="shared" si="8"/>
        <v>2.4489795918367347</v>
      </c>
      <c r="J271" s="104">
        <v>5.2200000000000003E-2</v>
      </c>
      <c r="K271" s="147">
        <v>10.778956289890028</v>
      </c>
    </row>
    <row r="272" spans="3:11" hidden="1" x14ac:dyDescent="0.3">
      <c r="C272" s="146" t="s">
        <v>185</v>
      </c>
      <c r="D272" s="104" t="s">
        <v>62</v>
      </c>
      <c r="E272" s="104" t="s">
        <v>73</v>
      </c>
      <c r="F272" s="104">
        <v>38000</v>
      </c>
      <c r="G272" s="104">
        <f t="shared" si="9"/>
        <v>-10000</v>
      </c>
      <c r="H272" s="104">
        <v>2620</v>
      </c>
      <c r="I272" s="107">
        <f t="shared" si="8"/>
        <v>-3.8167938931297711</v>
      </c>
      <c r="J272" s="104">
        <v>5.4800000000000001E-2</v>
      </c>
      <c r="K272" s="147">
        <v>10.545341438708522</v>
      </c>
    </row>
    <row r="273" spans="3:11" hidden="1" x14ac:dyDescent="0.3">
      <c r="C273" s="146" t="s">
        <v>186</v>
      </c>
      <c r="D273" s="104" t="s">
        <v>62</v>
      </c>
      <c r="E273" s="104" t="s">
        <v>73</v>
      </c>
      <c r="F273" s="104">
        <v>42000</v>
      </c>
      <c r="G273" s="104">
        <f t="shared" si="9"/>
        <v>4000</v>
      </c>
      <c r="H273" s="104">
        <v>2780</v>
      </c>
      <c r="I273" s="107">
        <f t="shared" si="8"/>
        <v>1.4388489208633093</v>
      </c>
      <c r="J273" s="104">
        <v>5.62E-2</v>
      </c>
      <c r="K273" s="147">
        <v>10.645424897265505</v>
      </c>
    </row>
    <row r="274" spans="3:11" hidden="1" x14ac:dyDescent="0.3">
      <c r="C274" s="146" t="s">
        <v>14</v>
      </c>
      <c r="D274" s="104" t="s">
        <v>62</v>
      </c>
      <c r="E274" s="104" t="s">
        <v>73</v>
      </c>
      <c r="F274" s="104">
        <v>59800</v>
      </c>
      <c r="G274" s="104">
        <f t="shared" si="9"/>
        <v>17800</v>
      </c>
      <c r="H274" s="104">
        <v>2928.7</v>
      </c>
      <c r="I274" s="107">
        <f t="shared" si="8"/>
        <v>6.0777819510362967</v>
      </c>
      <c r="J274" s="104">
        <v>6.1055286857905268E-2</v>
      </c>
      <c r="K274" s="147">
        <v>10.998760939938723</v>
      </c>
    </row>
    <row r="275" spans="3:11" hidden="1" x14ac:dyDescent="0.3">
      <c r="C275" s="146" t="s">
        <v>64</v>
      </c>
      <c r="D275" s="104" t="s">
        <v>62</v>
      </c>
      <c r="E275" s="104" t="s">
        <v>73</v>
      </c>
      <c r="F275" s="104">
        <v>38500</v>
      </c>
      <c r="G275" s="104">
        <f t="shared" si="9"/>
        <v>-21300</v>
      </c>
      <c r="H275" s="104">
        <v>4121</v>
      </c>
      <c r="I275" s="107">
        <f t="shared" si="8"/>
        <v>-5.1686483863140014</v>
      </c>
      <c r="J275" s="104">
        <v>8.8486644335652329E-2</v>
      </c>
      <c r="K275" s="147">
        <v>10.558413520275876</v>
      </c>
    </row>
    <row r="276" spans="3:11" hidden="1" x14ac:dyDescent="0.3">
      <c r="C276" s="146" t="s">
        <v>65</v>
      </c>
      <c r="D276" s="104" t="s">
        <v>62</v>
      </c>
      <c r="E276" s="104" t="s">
        <v>73</v>
      </c>
      <c r="F276" s="104">
        <v>78500</v>
      </c>
      <c r="G276" s="104">
        <f t="shared" si="9"/>
        <v>40000</v>
      </c>
      <c r="H276" s="104">
        <v>5967.5</v>
      </c>
      <c r="I276" s="107">
        <f t="shared" si="8"/>
        <v>6.7029744449099287</v>
      </c>
      <c r="J276" s="104">
        <v>0.10681427650891387</v>
      </c>
      <c r="K276" s="147">
        <v>11.270853903770499</v>
      </c>
    </row>
    <row r="277" spans="3:11" hidden="1" x14ac:dyDescent="0.3">
      <c r="C277" s="152" t="s">
        <v>66</v>
      </c>
      <c r="D277" s="153" t="s">
        <v>62</v>
      </c>
      <c r="E277" s="153" t="s">
        <v>73</v>
      </c>
      <c r="F277" s="153">
        <v>95700</v>
      </c>
      <c r="G277" s="153">
        <f t="shared" si="9"/>
        <v>17200</v>
      </c>
      <c r="H277" s="153">
        <v>6869.9</v>
      </c>
      <c r="I277" s="154">
        <f t="shared" si="8"/>
        <v>2.5036754537911761</v>
      </c>
      <c r="J277" s="153">
        <v>0.108756015704154</v>
      </c>
      <c r="K277" s="155">
        <v>11.468973577441046</v>
      </c>
    </row>
    <row r="278" spans="3:11" hidden="1" x14ac:dyDescent="0.3">
      <c r="C278" s="13" t="s">
        <v>68</v>
      </c>
    </row>
    <row r="279" spans="3:11" hidden="1" x14ac:dyDescent="0.3">
      <c r="C279" s="104" t="s">
        <v>0</v>
      </c>
      <c r="D279" s="104" t="s">
        <v>2</v>
      </c>
      <c r="E279" s="104" t="s">
        <v>230</v>
      </c>
      <c r="F279" s="104" t="s">
        <v>229</v>
      </c>
      <c r="G279" s="104" t="s">
        <v>228</v>
      </c>
      <c r="H279" s="104" t="s">
        <v>227</v>
      </c>
      <c r="I279" s="104" t="s">
        <v>226</v>
      </c>
      <c r="J279" s="104" t="s">
        <v>6</v>
      </c>
      <c r="K279" s="104" t="s">
        <v>13</v>
      </c>
    </row>
    <row r="280" spans="3:11" hidden="1" x14ac:dyDescent="0.3">
      <c r="C280" s="104" t="s">
        <v>181</v>
      </c>
      <c r="D280" s="104" t="s">
        <v>15</v>
      </c>
      <c r="E280" s="104" t="s">
        <v>68</v>
      </c>
      <c r="F280" s="104">
        <v>1820</v>
      </c>
      <c r="G280" s="104"/>
      <c r="H280" s="104">
        <v>28</v>
      </c>
      <c r="I280" s="104"/>
      <c r="J280" s="104">
        <v>1.4200000000000001E-2</v>
      </c>
      <c r="K280" s="104">
        <v>7.506591780070841</v>
      </c>
    </row>
    <row r="281" spans="3:11" hidden="1" x14ac:dyDescent="0.3">
      <c r="C281" s="104" t="s">
        <v>182</v>
      </c>
      <c r="D281" s="104" t="s">
        <v>15</v>
      </c>
      <c r="E281" s="104" t="s">
        <v>68</v>
      </c>
      <c r="F281" s="104">
        <v>2100</v>
      </c>
      <c r="G281" s="104">
        <v>280</v>
      </c>
      <c r="H281" s="104">
        <v>32</v>
      </c>
      <c r="I281" s="104">
        <v>8.75</v>
      </c>
      <c r="J281" s="104">
        <v>1.55E-2</v>
      </c>
      <c r="K281" s="104">
        <v>7.6496926237115144</v>
      </c>
    </row>
    <row r="282" spans="3:11" hidden="1" x14ac:dyDescent="0.3">
      <c r="C282" s="104" t="s">
        <v>183</v>
      </c>
      <c r="D282" s="104" t="s">
        <v>15</v>
      </c>
      <c r="E282" s="104" t="s">
        <v>68</v>
      </c>
      <c r="F282" s="104">
        <v>2450</v>
      </c>
      <c r="G282" s="104">
        <v>350</v>
      </c>
      <c r="H282" s="104">
        <v>36</v>
      </c>
      <c r="I282" s="104">
        <v>9.7222222222222214</v>
      </c>
      <c r="J282" s="104">
        <v>1.6799999999999999E-2</v>
      </c>
      <c r="K282" s="104">
        <v>7.8038433035387724</v>
      </c>
    </row>
    <row r="283" spans="3:11" hidden="1" x14ac:dyDescent="0.3">
      <c r="C283" s="104" t="s">
        <v>184</v>
      </c>
      <c r="D283" s="104" t="s">
        <v>15</v>
      </c>
      <c r="E283" s="104" t="s">
        <v>68</v>
      </c>
      <c r="F283" s="104">
        <v>2680</v>
      </c>
      <c r="G283" s="104">
        <v>230</v>
      </c>
      <c r="H283" s="104">
        <v>38</v>
      </c>
      <c r="I283" s="104">
        <v>6.0526315789473681</v>
      </c>
      <c r="J283" s="104">
        <v>1.7500000000000002E-2</v>
      </c>
      <c r="K283" s="104">
        <v>7.8935720735049024</v>
      </c>
    </row>
    <row r="284" spans="3:11" hidden="1" x14ac:dyDescent="0.3">
      <c r="C284" s="104" t="s">
        <v>185</v>
      </c>
      <c r="D284" s="104" t="s">
        <v>15</v>
      </c>
      <c r="E284" s="104" t="s">
        <v>68</v>
      </c>
      <c r="F284" s="104">
        <v>2200</v>
      </c>
      <c r="G284" s="104">
        <v>-480</v>
      </c>
      <c r="H284" s="104">
        <v>39</v>
      </c>
      <c r="I284" s="104">
        <v>-12.307692307692308</v>
      </c>
      <c r="J284" s="104">
        <v>1.7999999999999999E-2</v>
      </c>
      <c r="K284" s="104">
        <v>7.696212639346407</v>
      </c>
    </row>
    <row r="285" spans="3:11" hidden="1" x14ac:dyDescent="0.3">
      <c r="C285" s="104" t="s">
        <v>186</v>
      </c>
      <c r="D285" s="104" t="s">
        <v>15</v>
      </c>
      <c r="E285" s="104" t="s">
        <v>68</v>
      </c>
      <c r="F285" s="104">
        <v>3100</v>
      </c>
      <c r="G285" s="104">
        <v>900</v>
      </c>
      <c r="H285" s="104">
        <v>40</v>
      </c>
      <c r="I285" s="104">
        <v>22.5</v>
      </c>
      <c r="J285" s="104">
        <v>1.8499999999999999E-2</v>
      </c>
      <c r="K285" s="104">
        <v>8.0391573904732372</v>
      </c>
    </row>
    <row r="286" spans="3:11" hidden="1" x14ac:dyDescent="0.3">
      <c r="C286" s="104" t="s">
        <v>14</v>
      </c>
      <c r="D286" s="104" t="s">
        <v>15</v>
      </c>
      <c r="E286" s="104" t="s">
        <v>68</v>
      </c>
      <c r="F286" s="104">
        <v>3743</v>
      </c>
      <c r="G286" s="104">
        <v>643</v>
      </c>
      <c r="H286" s="104">
        <v>41</v>
      </c>
      <c r="I286" s="104">
        <v>15.682926829268293</v>
      </c>
      <c r="J286" s="104">
        <v>1.89E-2</v>
      </c>
      <c r="K286" s="104">
        <v>8.2276427079044296</v>
      </c>
    </row>
    <row r="287" spans="3:11" hidden="1" x14ac:dyDescent="0.3">
      <c r="C287" s="104" t="s">
        <v>64</v>
      </c>
      <c r="D287" s="104" t="s">
        <v>15</v>
      </c>
      <c r="E287" s="104" t="s">
        <v>68</v>
      </c>
      <c r="F287" s="104">
        <v>5266</v>
      </c>
      <c r="G287" s="104">
        <v>1523</v>
      </c>
      <c r="H287" s="104">
        <v>100</v>
      </c>
      <c r="I287" s="104">
        <v>15.23</v>
      </c>
      <c r="J287" s="104">
        <v>2.12E-2</v>
      </c>
      <c r="K287" s="104">
        <v>8.5690263400562543</v>
      </c>
    </row>
    <row r="288" spans="3:11" hidden="1" x14ac:dyDescent="0.3">
      <c r="C288" s="104" t="s">
        <v>65</v>
      </c>
      <c r="D288" s="104" t="s">
        <v>15</v>
      </c>
      <c r="E288" s="104" t="s">
        <v>68</v>
      </c>
      <c r="F288" s="104">
        <v>20658.43</v>
      </c>
      <c r="G288" s="104">
        <v>15392.43</v>
      </c>
      <c r="H288" s="104">
        <v>848</v>
      </c>
      <c r="I288" s="104">
        <v>18.151450471698112</v>
      </c>
      <c r="J288" s="104">
        <v>2.5499999999999998E-2</v>
      </c>
      <c r="K288" s="104">
        <v>9.9358787475305057</v>
      </c>
    </row>
    <row r="289" spans="3:11" hidden="1" x14ac:dyDescent="0.3">
      <c r="C289" s="104" t="s">
        <v>66</v>
      </c>
      <c r="D289" s="104" t="s">
        <v>15</v>
      </c>
      <c r="E289" s="104" t="s">
        <v>68</v>
      </c>
      <c r="F289" s="104">
        <v>14717</v>
      </c>
      <c r="G289" s="104">
        <v>-5941.43</v>
      </c>
      <c r="H289" s="104">
        <v>1052</v>
      </c>
      <c r="I289" s="104">
        <v>-5.6477471482889738</v>
      </c>
      <c r="J289" s="104">
        <v>8.7737642585551338E-3</v>
      </c>
      <c r="K289" s="104">
        <v>9.5967585671641125</v>
      </c>
    </row>
    <row r="290" spans="3:11" hidden="1" x14ac:dyDescent="0.3">
      <c r="C290" s="104" t="s">
        <v>181</v>
      </c>
      <c r="D290" s="104" t="s">
        <v>40</v>
      </c>
      <c r="E290" s="104" t="s">
        <v>68</v>
      </c>
      <c r="F290" s="104">
        <v>850</v>
      </c>
      <c r="G290" s="104"/>
      <c r="H290" s="104">
        <v>12.5</v>
      </c>
      <c r="I290" s="104"/>
      <c r="J290" s="104">
        <v>2.8500000000000001E-2</v>
      </c>
      <c r="K290" s="104">
        <v>6.7452363494843626</v>
      </c>
    </row>
    <row r="291" spans="3:11" hidden="1" x14ac:dyDescent="0.3">
      <c r="C291" s="104" t="s">
        <v>182</v>
      </c>
      <c r="D291" s="104" t="s">
        <v>40</v>
      </c>
      <c r="E291" s="104" t="s">
        <v>68</v>
      </c>
      <c r="F291" s="104">
        <v>920</v>
      </c>
      <c r="G291" s="104">
        <v>70</v>
      </c>
      <c r="H291" s="104">
        <v>13.8</v>
      </c>
      <c r="I291" s="104">
        <v>5.0724637681159415</v>
      </c>
      <c r="J291" s="104">
        <v>3.0200000000000001E-2</v>
      </c>
      <c r="K291" s="104">
        <v>6.8243736700430864</v>
      </c>
    </row>
    <row r="292" spans="3:11" hidden="1" x14ac:dyDescent="0.3">
      <c r="C292" s="104" t="s">
        <v>183</v>
      </c>
      <c r="D292" s="104" t="s">
        <v>40</v>
      </c>
      <c r="E292" s="104" t="s">
        <v>68</v>
      </c>
      <c r="F292" s="104">
        <v>1050</v>
      </c>
      <c r="G292" s="104">
        <v>130</v>
      </c>
      <c r="H292" s="104">
        <v>14.5</v>
      </c>
      <c r="I292" s="104">
        <v>8.9655172413793096</v>
      </c>
      <c r="J292" s="104">
        <v>3.15E-2</v>
      </c>
      <c r="K292" s="104">
        <v>6.956545443151569</v>
      </c>
    </row>
    <row r="293" spans="3:11" hidden="1" x14ac:dyDescent="0.3">
      <c r="C293" s="104" t="s">
        <v>184</v>
      </c>
      <c r="D293" s="104" t="s">
        <v>40</v>
      </c>
      <c r="E293" s="104" t="s">
        <v>68</v>
      </c>
      <c r="F293" s="104">
        <v>980</v>
      </c>
      <c r="G293" s="104">
        <v>-70</v>
      </c>
      <c r="H293" s="104">
        <v>15.2</v>
      </c>
      <c r="I293" s="104">
        <v>-4.6052631578947372</v>
      </c>
      <c r="J293" s="104">
        <v>3.2800000000000003E-2</v>
      </c>
      <c r="K293" s="104">
        <v>6.8875525716646173</v>
      </c>
    </row>
    <row r="294" spans="3:11" hidden="1" x14ac:dyDescent="0.3">
      <c r="C294" s="104" t="s">
        <v>185</v>
      </c>
      <c r="D294" s="104" t="s">
        <v>40</v>
      </c>
      <c r="E294" s="104" t="s">
        <v>68</v>
      </c>
      <c r="F294" s="104">
        <v>680</v>
      </c>
      <c r="G294" s="104">
        <v>-300</v>
      </c>
      <c r="H294" s="104">
        <v>16</v>
      </c>
      <c r="I294" s="104">
        <v>-18.75</v>
      </c>
      <c r="J294" s="104">
        <v>3.3500000000000002E-2</v>
      </c>
      <c r="K294" s="104">
        <v>6.522092798170152</v>
      </c>
    </row>
    <row r="295" spans="3:11" hidden="1" x14ac:dyDescent="0.3">
      <c r="C295" s="104" t="s">
        <v>186</v>
      </c>
      <c r="D295" s="104" t="s">
        <v>40</v>
      </c>
      <c r="E295" s="104" t="s">
        <v>68</v>
      </c>
      <c r="F295" s="104">
        <v>820</v>
      </c>
      <c r="G295" s="104">
        <v>140</v>
      </c>
      <c r="H295" s="104">
        <v>17.5</v>
      </c>
      <c r="I295" s="104">
        <v>8</v>
      </c>
      <c r="J295" s="104">
        <v>3.4200000000000001E-2</v>
      </c>
      <c r="K295" s="104">
        <v>6.7093043402582984</v>
      </c>
    </row>
    <row r="296" spans="3:11" hidden="1" x14ac:dyDescent="0.3">
      <c r="C296" s="104" t="s">
        <v>14</v>
      </c>
      <c r="D296" s="104" t="s">
        <v>40</v>
      </c>
      <c r="E296" s="104" t="s">
        <v>68</v>
      </c>
      <c r="F296" s="104">
        <v>1064</v>
      </c>
      <c r="G296" s="104">
        <v>244</v>
      </c>
      <c r="H296" s="104">
        <v>19.57</v>
      </c>
      <c r="I296" s="104">
        <v>12.468063362289218</v>
      </c>
      <c r="J296" s="104">
        <v>7.3518915060670946E-3</v>
      </c>
      <c r="K296" s="104">
        <v>6.9697906699015899</v>
      </c>
    </row>
    <row r="297" spans="3:11" hidden="1" x14ac:dyDescent="0.3">
      <c r="C297" s="104" t="s">
        <v>64</v>
      </c>
      <c r="D297" s="104" t="s">
        <v>40</v>
      </c>
      <c r="E297" s="104" t="s">
        <v>68</v>
      </c>
      <c r="F297" s="104">
        <v>1366</v>
      </c>
      <c r="G297" s="104">
        <v>302</v>
      </c>
      <c r="H297" s="104">
        <v>48.57</v>
      </c>
      <c r="I297" s="104">
        <v>6.217829936174593</v>
      </c>
      <c r="J297" s="104">
        <v>1.453978308571497E-2</v>
      </c>
      <c r="K297" s="104">
        <v>7.2196420401307355</v>
      </c>
    </row>
    <row r="298" spans="3:11" hidden="1" x14ac:dyDescent="0.3">
      <c r="C298" s="104" t="s">
        <v>65</v>
      </c>
      <c r="D298" s="104" t="s">
        <v>40</v>
      </c>
      <c r="E298" s="104" t="s">
        <v>68</v>
      </c>
      <c r="F298" s="104">
        <v>4224</v>
      </c>
      <c r="G298" s="104">
        <v>2858</v>
      </c>
      <c r="H298" s="104">
        <v>79.36</v>
      </c>
      <c r="I298" s="104">
        <v>36.01310483870968</v>
      </c>
      <c r="J298" s="104">
        <v>1.916917473031271E-2</v>
      </c>
      <c r="K298" s="104">
        <v>8.3485378253860976</v>
      </c>
    </row>
    <row r="299" spans="3:11" hidden="1" x14ac:dyDescent="0.3">
      <c r="C299" s="104" t="s">
        <v>66</v>
      </c>
      <c r="D299" s="104" t="s">
        <v>40</v>
      </c>
      <c r="E299" s="104" t="s">
        <v>68</v>
      </c>
      <c r="F299" s="104">
        <v>4135</v>
      </c>
      <c r="G299" s="104">
        <v>-89</v>
      </c>
      <c r="H299" s="104">
        <v>96.788300000000007</v>
      </c>
      <c r="I299" s="104">
        <v>-0.91953262946037895</v>
      </c>
      <c r="J299" s="104">
        <v>2.2004842559963624E-2</v>
      </c>
      <c r="K299" s="104">
        <v>8.3272426074577925</v>
      </c>
    </row>
    <row r="300" spans="3:11" hidden="1" x14ac:dyDescent="0.3">
      <c r="C300" s="104" t="s">
        <v>181</v>
      </c>
      <c r="D300" s="104" t="s">
        <v>44</v>
      </c>
      <c r="E300" s="104" t="s">
        <v>68</v>
      </c>
      <c r="F300" s="104">
        <v>3200</v>
      </c>
      <c r="G300" s="104"/>
      <c r="H300" s="104">
        <v>320</v>
      </c>
      <c r="I300" s="104"/>
      <c r="J300" s="104">
        <v>2.4199999999999999E-2</v>
      </c>
      <c r="K300" s="104">
        <v>8.0709060887878188</v>
      </c>
    </row>
    <row r="301" spans="3:11" hidden="1" x14ac:dyDescent="0.3">
      <c r="C301" s="104" t="s">
        <v>182</v>
      </c>
      <c r="D301" s="104" t="s">
        <v>44</v>
      </c>
      <c r="E301" s="104" t="s">
        <v>68</v>
      </c>
      <c r="F301" s="104">
        <v>3800</v>
      </c>
      <c r="G301" s="104">
        <v>600</v>
      </c>
      <c r="H301" s="104">
        <v>368</v>
      </c>
      <c r="I301" s="104">
        <v>1.6304347826086956</v>
      </c>
      <c r="J301" s="104">
        <v>2.6800000000000001E-2</v>
      </c>
      <c r="K301" s="104">
        <v>8.2427563457144775</v>
      </c>
    </row>
    <row r="302" spans="3:11" hidden="1" x14ac:dyDescent="0.3">
      <c r="C302" s="104" t="s">
        <v>183</v>
      </c>
      <c r="D302" s="104" t="s">
        <v>44</v>
      </c>
      <c r="E302" s="104" t="s">
        <v>68</v>
      </c>
      <c r="F302" s="104">
        <v>4500</v>
      </c>
      <c r="G302" s="104">
        <v>700</v>
      </c>
      <c r="H302" s="104">
        <v>422</v>
      </c>
      <c r="I302" s="104">
        <v>1.6587677725118484</v>
      </c>
      <c r="J302" s="104">
        <v>2.9499999999999998E-2</v>
      </c>
      <c r="K302" s="104">
        <v>8.4118326757584114</v>
      </c>
    </row>
    <row r="303" spans="3:11" hidden="1" x14ac:dyDescent="0.3">
      <c r="C303" s="104" t="s">
        <v>184</v>
      </c>
      <c r="D303" s="104" t="s">
        <v>44</v>
      </c>
      <c r="E303" s="104" t="s">
        <v>68</v>
      </c>
      <c r="F303" s="104">
        <v>5200</v>
      </c>
      <c r="G303" s="104">
        <v>700</v>
      </c>
      <c r="H303" s="104">
        <v>480</v>
      </c>
      <c r="I303" s="104">
        <v>1.4583333333333333</v>
      </c>
      <c r="J303" s="104">
        <v>3.2199999999999999E-2</v>
      </c>
      <c r="K303" s="104">
        <v>8.5564139045695189</v>
      </c>
    </row>
    <row r="304" spans="3:11" hidden="1" x14ac:dyDescent="0.3">
      <c r="C304" s="104" t="s">
        <v>185</v>
      </c>
      <c r="D304" s="104" t="s">
        <v>44</v>
      </c>
      <c r="E304" s="104" t="s">
        <v>68</v>
      </c>
      <c r="F304" s="104">
        <v>4800</v>
      </c>
      <c r="G304" s="104">
        <v>-400</v>
      </c>
      <c r="H304" s="104">
        <v>520</v>
      </c>
      <c r="I304" s="104">
        <v>-0.76923076923076927</v>
      </c>
      <c r="J304" s="104">
        <v>3.4200000000000001E-2</v>
      </c>
      <c r="K304" s="104">
        <v>8.4763711968959825</v>
      </c>
    </row>
    <row r="305" spans="2:11" hidden="1" x14ac:dyDescent="0.3">
      <c r="C305" s="104" t="s">
        <v>186</v>
      </c>
      <c r="D305" s="104" t="s">
        <v>44</v>
      </c>
      <c r="E305" s="104" t="s">
        <v>68</v>
      </c>
      <c r="F305" s="104">
        <v>7500</v>
      </c>
      <c r="G305" s="104">
        <v>2700</v>
      </c>
      <c r="H305" s="104">
        <v>550</v>
      </c>
      <c r="I305" s="104">
        <v>4.9090909090909092</v>
      </c>
      <c r="J305" s="104">
        <v>3.5799999999999998E-2</v>
      </c>
      <c r="K305" s="104">
        <v>8.9226582995244019</v>
      </c>
    </row>
    <row r="306" spans="2:11" hidden="1" x14ac:dyDescent="0.3">
      <c r="C306" s="104" t="s">
        <v>14</v>
      </c>
      <c r="D306" s="104" t="s">
        <v>44</v>
      </c>
      <c r="E306" s="104" t="s">
        <v>68</v>
      </c>
      <c r="F306" s="104">
        <v>30344</v>
      </c>
      <c r="G306" s="104">
        <v>22844</v>
      </c>
      <c r="H306" s="104">
        <v>584</v>
      </c>
      <c r="I306" s="104">
        <v>39.11643835616438</v>
      </c>
      <c r="J306" s="104">
        <v>3.5799999999999998E-2</v>
      </c>
      <c r="K306" s="104">
        <v>10.320354083368734</v>
      </c>
    </row>
    <row r="307" spans="2:11" hidden="1" x14ac:dyDescent="0.3">
      <c r="C307" s="104" t="s">
        <v>64</v>
      </c>
      <c r="D307" s="104" t="s">
        <v>44</v>
      </c>
      <c r="E307" s="104" t="s">
        <v>68</v>
      </c>
      <c r="F307" s="104">
        <v>44615</v>
      </c>
      <c r="G307" s="104">
        <v>14271</v>
      </c>
      <c r="H307" s="104">
        <v>721</v>
      </c>
      <c r="I307" s="104">
        <v>19.793342579750348</v>
      </c>
      <c r="J307" s="104">
        <v>4.1099999999999998E-2</v>
      </c>
      <c r="K307" s="104">
        <v>10.705825404334252</v>
      </c>
    </row>
    <row r="308" spans="2:11" hidden="1" x14ac:dyDescent="0.3">
      <c r="C308" s="104" t="s">
        <v>65</v>
      </c>
      <c r="D308" s="104" t="s">
        <v>44</v>
      </c>
      <c r="E308" s="104" t="s">
        <v>68</v>
      </c>
      <c r="F308" s="104">
        <v>70883</v>
      </c>
      <c r="G308" s="104">
        <v>26268</v>
      </c>
      <c r="H308" s="104">
        <v>701</v>
      </c>
      <c r="I308" s="104">
        <v>37.472182596291013</v>
      </c>
      <c r="J308" s="104">
        <v>4.7600000000000003E-2</v>
      </c>
      <c r="K308" s="104">
        <v>11.168785909439716</v>
      </c>
    </row>
    <row r="309" spans="2:11" hidden="1" x14ac:dyDescent="0.3">
      <c r="C309" s="104" t="s">
        <v>66</v>
      </c>
      <c r="D309" s="104" t="s">
        <v>44</v>
      </c>
      <c r="E309" s="104" t="s">
        <v>68</v>
      </c>
      <c r="F309" s="104">
        <v>60983</v>
      </c>
      <c r="G309" s="104">
        <v>-9900</v>
      </c>
      <c r="H309" s="104">
        <v>750</v>
      </c>
      <c r="I309" s="104">
        <v>-13.2</v>
      </c>
      <c r="J309" s="104">
        <v>4.9099999999999998E-2</v>
      </c>
      <c r="K309" s="104">
        <v>11.018350415789994</v>
      </c>
    </row>
    <row r="310" spans="2:11" hidden="1" x14ac:dyDescent="0.3"/>
    <row r="312" spans="2:11" x14ac:dyDescent="0.3">
      <c r="C312" s="169" t="s">
        <v>235</v>
      </c>
    </row>
    <row r="313" spans="2:11" x14ac:dyDescent="0.3">
      <c r="B313" s="13" t="s">
        <v>68</v>
      </c>
      <c r="C313" t="s">
        <v>89</v>
      </c>
    </row>
    <row r="314" spans="2:11" ht="15" thickBot="1" x14ac:dyDescent="0.35"/>
    <row r="315" spans="2:11" x14ac:dyDescent="0.3">
      <c r="C315" s="159" t="s">
        <v>90</v>
      </c>
      <c r="D315" s="159"/>
    </row>
    <row r="316" spans="2:11" x14ac:dyDescent="0.3">
      <c r="C316" s="156" t="s">
        <v>91</v>
      </c>
      <c r="D316" s="156">
        <v>0.45565796769049177</v>
      </c>
    </row>
    <row r="317" spans="2:11" x14ac:dyDescent="0.3">
      <c r="C317" s="156" t="s">
        <v>92</v>
      </c>
      <c r="D317" s="156">
        <v>0.20762418351982925</v>
      </c>
    </row>
    <row r="318" spans="2:11" x14ac:dyDescent="0.3">
      <c r="C318" s="156" t="s">
        <v>93</v>
      </c>
      <c r="D318" s="156">
        <v>0.17932504721696602</v>
      </c>
    </row>
    <row r="319" spans="2:11" x14ac:dyDescent="0.3">
      <c r="C319" s="156" t="s">
        <v>76</v>
      </c>
      <c r="D319" s="156">
        <v>1.1821695673382497</v>
      </c>
    </row>
    <row r="320" spans="2:11" ht="15" thickBot="1" x14ac:dyDescent="0.35">
      <c r="C320" s="157" t="s">
        <v>94</v>
      </c>
      <c r="D320" s="157">
        <v>30</v>
      </c>
    </row>
    <row r="322" spans="3:11" ht="15" thickBot="1" x14ac:dyDescent="0.35">
      <c r="C322" t="s">
        <v>95</v>
      </c>
    </row>
    <row r="323" spans="3:11" x14ac:dyDescent="0.3">
      <c r="C323" s="158"/>
      <c r="D323" s="158" t="s">
        <v>100</v>
      </c>
      <c r="E323" s="158" t="s">
        <v>101</v>
      </c>
      <c r="F323" s="158" t="s">
        <v>102</v>
      </c>
      <c r="G323" s="158" t="s">
        <v>103</v>
      </c>
      <c r="H323" s="158" t="s">
        <v>104</v>
      </c>
    </row>
    <row r="324" spans="3:11" x14ac:dyDescent="0.3">
      <c r="C324" s="156" t="s">
        <v>96</v>
      </c>
      <c r="D324" s="156">
        <v>1</v>
      </c>
      <c r="E324" s="156">
        <v>10.253315164347384</v>
      </c>
      <c r="F324" s="156">
        <v>10.253315164347384</v>
      </c>
      <c r="G324" s="156">
        <v>7.3367675005269444</v>
      </c>
      <c r="H324" s="156">
        <v>1.1392152920953268E-2</v>
      </c>
    </row>
    <row r="325" spans="3:11" x14ac:dyDescent="0.3">
      <c r="C325" s="156" t="s">
        <v>97</v>
      </c>
      <c r="D325" s="156">
        <v>28</v>
      </c>
      <c r="E325" s="156">
        <v>39.130696806339721</v>
      </c>
      <c r="F325" s="156">
        <v>1.3975248859407043</v>
      </c>
      <c r="G325" s="156"/>
      <c r="H325" s="156"/>
    </row>
    <row r="326" spans="3:11" ht="15" thickBot="1" x14ac:dyDescent="0.35">
      <c r="C326" s="157" t="s">
        <v>98</v>
      </c>
      <c r="D326" s="157">
        <v>29</v>
      </c>
      <c r="E326" s="157">
        <v>49.384011970687105</v>
      </c>
      <c r="F326" s="157"/>
      <c r="G326" s="157"/>
      <c r="H326" s="157"/>
    </row>
    <row r="327" spans="3:11" ht="15" thickBot="1" x14ac:dyDescent="0.35"/>
    <row r="328" spans="3:11" x14ac:dyDescent="0.3">
      <c r="C328" s="158"/>
      <c r="D328" s="158" t="s">
        <v>105</v>
      </c>
      <c r="E328" s="158" t="s">
        <v>76</v>
      </c>
      <c r="F328" s="158" t="s">
        <v>106</v>
      </c>
      <c r="G328" s="158" t="s">
        <v>107</v>
      </c>
      <c r="H328" s="158" t="s">
        <v>108</v>
      </c>
      <c r="I328" s="158" t="s">
        <v>109</v>
      </c>
      <c r="J328" s="158" t="s">
        <v>110</v>
      </c>
      <c r="K328" s="158" t="s">
        <v>111</v>
      </c>
    </row>
    <row r="329" spans="3:11" x14ac:dyDescent="0.3">
      <c r="C329" s="156" t="s">
        <v>99</v>
      </c>
      <c r="D329" s="156">
        <v>6.7972775989386918</v>
      </c>
      <c r="E329" s="156">
        <v>0.58753502645629174</v>
      </c>
      <c r="F329" s="156">
        <v>11.569144464350261</v>
      </c>
      <c r="G329" s="161">
        <v>3.5121277058804029E-12</v>
      </c>
      <c r="H329" s="156">
        <v>5.5937666546907661</v>
      </c>
      <c r="I329" s="156">
        <v>8.0007885431866175</v>
      </c>
      <c r="J329" s="156">
        <v>5.5937666546907661</v>
      </c>
      <c r="K329" s="156">
        <v>8.0007885431866175</v>
      </c>
    </row>
    <row r="330" spans="3:11" ht="29.4" thickBot="1" x14ac:dyDescent="0.35">
      <c r="C330" s="160" t="s">
        <v>6</v>
      </c>
      <c r="D330" s="157">
        <v>56.57075905357118</v>
      </c>
      <c r="E330" s="157">
        <v>20.885247571591879</v>
      </c>
      <c r="F330" s="157">
        <v>2.708646802469258</v>
      </c>
      <c r="G330" s="162">
        <v>1.1392152920953314E-2</v>
      </c>
      <c r="H330" s="157">
        <v>13.789268769760589</v>
      </c>
      <c r="I330" s="157">
        <v>99.352249337381778</v>
      </c>
      <c r="J330" s="157">
        <v>13.789268769760589</v>
      </c>
      <c r="K330" s="157">
        <v>99.352249337381778</v>
      </c>
    </row>
    <row r="333" spans="3:11" hidden="1" x14ac:dyDescent="0.3">
      <c r="C333" s="13" t="s">
        <v>71</v>
      </c>
    </row>
    <row r="334" spans="3:11" hidden="1" x14ac:dyDescent="0.3">
      <c r="C334" s="104" t="s">
        <v>0</v>
      </c>
      <c r="D334" s="104" t="s">
        <v>2</v>
      </c>
      <c r="E334" s="104" t="s">
        <v>230</v>
      </c>
      <c r="F334" s="104" t="s">
        <v>229</v>
      </c>
      <c r="G334" s="104" t="s">
        <v>228</v>
      </c>
      <c r="H334" s="104" t="s">
        <v>227</v>
      </c>
      <c r="I334" s="104" t="s">
        <v>226</v>
      </c>
      <c r="J334" s="104" t="s">
        <v>6</v>
      </c>
      <c r="K334" s="104" t="s">
        <v>13</v>
      </c>
    </row>
    <row r="335" spans="3:11" hidden="1" x14ac:dyDescent="0.3">
      <c r="C335" s="104" t="s">
        <v>181</v>
      </c>
      <c r="D335" s="104" t="s">
        <v>27</v>
      </c>
      <c r="E335" s="104" t="s">
        <v>71</v>
      </c>
      <c r="F335" s="104">
        <v>5200</v>
      </c>
      <c r="G335" s="104"/>
      <c r="H335" s="104">
        <v>92</v>
      </c>
      <c r="I335" s="104">
        <v>0</v>
      </c>
      <c r="J335" s="104">
        <v>1.7999999999999999E-2</v>
      </c>
      <c r="K335" s="104">
        <v>8.5564139045695189</v>
      </c>
    </row>
    <row r="336" spans="3:11" hidden="1" x14ac:dyDescent="0.3">
      <c r="C336" s="104" t="s">
        <v>182</v>
      </c>
      <c r="D336" s="104" t="s">
        <v>27</v>
      </c>
      <c r="E336" s="104" t="s">
        <v>71</v>
      </c>
      <c r="F336" s="104">
        <v>8500</v>
      </c>
      <c r="G336" s="104">
        <v>3300</v>
      </c>
      <c r="H336" s="104">
        <v>105</v>
      </c>
      <c r="I336" s="104">
        <v>31.428571428571427</v>
      </c>
      <c r="J336" s="104">
        <v>0.02</v>
      </c>
      <c r="K336" s="104">
        <v>9.0478214424784085</v>
      </c>
    </row>
    <row r="337" spans="3:11" hidden="1" x14ac:dyDescent="0.3">
      <c r="C337" s="104" t="s">
        <v>183</v>
      </c>
      <c r="D337" s="104" t="s">
        <v>27</v>
      </c>
      <c r="E337" s="104" t="s">
        <v>71</v>
      </c>
      <c r="F337" s="104">
        <v>9800</v>
      </c>
      <c r="G337" s="104">
        <v>1300</v>
      </c>
      <c r="H337" s="104">
        <v>118</v>
      </c>
      <c r="I337" s="104">
        <v>11.016949152542374</v>
      </c>
      <c r="J337" s="104">
        <v>2.2499999999999999E-2</v>
      </c>
      <c r="K337" s="104">
        <v>9.1901376646586641</v>
      </c>
    </row>
    <row r="338" spans="3:11" hidden="1" x14ac:dyDescent="0.3">
      <c r="C338" s="104" t="s">
        <v>184</v>
      </c>
      <c r="D338" s="104" t="s">
        <v>27</v>
      </c>
      <c r="E338" s="104" t="s">
        <v>71</v>
      </c>
      <c r="F338" s="104">
        <v>7200</v>
      </c>
      <c r="G338" s="104">
        <v>-2600</v>
      </c>
      <c r="H338" s="104">
        <v>130</v>
      </c>
      <c r="I338" s="104">
        <v>-20</v>
      </c>
      <c r="J338" s="104">
        <v>2.4500000000000001E-2</v>
      </c>
      <c r="K338" s="104">
        <v>8.8818363050041462</v>
      </c>
    </row>
    <row r="339" spans="3:11" hidden="1" x14ac:dyDescent="0.3">
      <c r="C339" s="104" t="s">
        <v>185</v>
      </c>
      <c r="D339" s="104" t="s">
        <v>27</v>
      </c>
      <c r="E339" s="104" t="s">
        <v>71</v>
      </c>
      <c r="F339" s="104">
        <v>4500</v>
      </c>
      <c r="G339" s="104">
        <v>-2700</v>
      </c>
      <c r="H339" s="104">
        <v>140</v>
      </c>
      <c r="I339" s="104">
        <v>-19.285714285714285</v>
      </c>
      <c r="J339" s="104">
        <v>2.5499999999999998E-2</v>
      </c>
      <c r="K339" s="104">
        <v>8.4118326757584114</v>
      </c>
    </row>
    <row r="340" spans="3:11" hidden="1" x14ac:dyDescent="0.3">
      <c r="C340" s="104" t="s">
        <v>186</v>
      </c>
      <c r="D340" s="104" t="s">
        <v>27</v>
      </c>
      <c r="E340" s="104" t="s">
        <v>71</v>
      </c>
      <c r="F340" s="104">
        <v>4800</v>
      </c>
      <c r="G340" s="104">
        <v>300</v>
      </c>
      <c r="H340" s="104">
        <v>152</v>
      </c>
      <c r="I340" s="104">
        <v>1.9736842105263157</v>
      </c>
      <c r="J340" s="104">
        <v>2.6200000000000001E-2</v>
      </c>
      <c r="K340" s="104">
        <v>8.4763711968959825</v>
      </c>
    </row>
    <row r="341" spans="3:11" hidden="1" x14ac:dyDescent="0.3">
      <c r="C341" s="104" t="s">
        <v>14</v>
      </c>
      <c r="D341" s="104" t="s">
        <v>27</v>
      </c>
      <c r="E341" s="104" t="s">
        <v>71</v>
      </c>
      <c r="F341" s="104">
        <v>6159</v>
      </c>
      <c r="G341" s="104">
        <v>1359</v>
      </c>
      <c r="H341" s="104">
        <v>840</v>
      </c>
      <c r="I341" s="104">
        <v>1.6178571428571429</v>
      </c>
      <c r="J341" s="104">
        <v>2.75E-2</v>
      </c>
      <c r="K341" s="104">
        <v>8.7256697056870429</v>
      </c>
    </row>
    <row r="342" spans="3:11" hidden="1" x14ac:dyDescent="0.3">
      <c r="C342" s="104" t="s">
        <v>64</v>
      </c>
      <c r="D342" s="104" t="s">
        <v>27</v>
      </c>
      <c r="E342" s="104" t="s">
        <v>71</v>
      </c>
      <c r="F342" s="104">
        <v>8779</v>
      </c>
      <c r="G342" s="104">
        <v>2620</v>
      </c>
      <c r="H342" s="104">
        <v>1050</v>
      </c>
      <c r="I342" s="104">
        <v>2.4952380952380953</v>
      </c>
      <c r="J342" s="104">
        <v>3.1099999999999999E-2</v>
      </c>
      <c r="K342" s="104">
        <v>9.0801177849262089</v>
      </c>
    </row>
    <row r="343" spans="3:11" hidden="1" x14ac:dyDescent="0.3">
      <c r="C343" s="104" t="s">
        <v>65</v>
      </c>
      <c r="D343" s="104" t="s">
        <v>27</v>
      </c>
      <c r="E343" s="104" t="s">
        <v>71</v>
      </c>
      <c r="F343" s="104">
        <v>14061</v>
      </c>
      <c r="G343" s="104">
        <v>5282</v>
      </c>
      <c r="H343" s="104">
        <v>1250</v>
      </c>
      <c r="I343" s="104">
        <v>4.2256</v>
      </c>
      <c r="J343" s="104">
        <v>3.5700000000000003E-2</v>
      </c>
      <c r="K343" s="104">
        <v>9.5511602865908163</v>
      </c>
    </row>
    <row r="344" spans="3:11" hidden="1" x14ac:dyDescent="0.3">
      <c r="C344" s="104" t="s">
        <v>66</v>
      </c>
      <c r="D344" s="104" t="s">
        <v>27</v>
      </c>
      <c r="E344" s="104" t="s">
        <v>71</v>
      </c>
      <c r="F344" s="104">
        <v>22110</v>
      </c>
      <c r="G344" s="104">
        <v>8049</v>
      </c>
      <c r="H344" s="104">
        <v>1320</v>
      </c>
      <c r="I344" s="104">
        <v>6.0977272727272727</v>
      </c>
      <c r="J344" s="104">
        <v>3.8100000000000002E-2</v>
      </c>
      <c r="K344" s="104">
        <v>10.003785273851491</v>
      </c>
    </row>
    <row r="345" spans="3:11" hidden="1" x14ac:dyDescent="0.3">
      <c r="C345" s="104" t="s">
        <v>181</v>
      </c>
      <c r="D345" s="104" t="s">
        <v>32</v>
      </c>
      <c r="E345" s="104" t="s">
        <v>71</v>
      </c>
      <c r="F345" s="104">
        <v>2800</v>
      </c>
      <c r="G345" s="104"/>
      <c r="H345" s="104">
        <v>145</v>
      </c>
      <c r="I345" s="104">
        <v>0</v>
      </c>
      <c r="J345" s="104">
        <v>1.6199999999999999E-2</v>
      </c>
      <c r="K345" s="104">
        <v>7.9373746961632952</v>
      </c>
    </row>
    <row r="346" spans="3:11" hidden="1" x14ac:dyDescent="0.3">
      <c r="C346" s="104" t="s">
        <v>182</v>
      </c>
      <c r="D346" s="104" t="s">
        <v>32</v>
      </c>
      <c r="E346" s="104" t="s">
        <v>71</v>
      </c>
      <c r="F346" s="104">
        <v>3500</v>
      </c>
      <c r="G346" s="104">
        <v>700</v>
      </c>
      <c r="H346" s="104">
        <v>162</v>
      </c>
      <c r="I346" s="104">
        <v>4.3209876543209873</v>
      </c>
      <c r="J346" s="104">
        <v>1.7500000000000002E-2</v>
      </c>
      <c r="K346" s="104">
        <v>8.1605182474775049</v>
      </c>
    </row>
    <row r="347" spans="3:11" hidden="1" x14ac:dyDescent="0.3">
      <c r="C347" s="104" t="s">
        <v>183</v>
      </c>
      <c r="D347" s="104" t="s">
        <v>32</v>
      </c>
      <c r="E347" s="104" t="s">
        <v>71</v>
      </c>
      <c r="F347" s="104">
        <v>5200</v>
      </c>
      <c r="G347" s="104">
        <v>1700</v>
      </c>
      <c r="H347" s="104">
        <v>180</v>
      </c>
      <c r="I347" s="104">
        <v>9.4444444444444446</v>
      </c>
      <c r="J347" s="104">
        <v>1.8800000000000001E-2</v>
      </c>
      <c r="K347" s="104">
        <v>8.5564139045695189</v>
      </c>
    </row>
    <row r="348" spans="3:11" hidden="1" x14ac:dyDescent="0.3">
      <c r="C348" s="104" t="s">
        <v>184</v>
      </c>
      <c r="D348" s="104" t="s">
        <v>32</v>
      </c>
      <c r="E348" s="104" t="s">
        <v>71</v>
      </c>
      <c r="F348" s="104">
        <v>6200</v>
      </c>
      <c r="G348" s="104">
        <v>1000</v>
      </c>
      <c r="H348" s="104">
        <v>198</v>
      </c>
      <c r="I348" s="104">
        <v>5.0505050505050502</v>
      </c>
      <c r="J348" s="104">
        <v>1.9800000000000002E-2</v>
      </c>
      <c r="K348" s="104">
        <v>8.7323045710331826</v>
      </c>
    </row>
    <row r="349" spans="3:11" hidden="1" x14ac:dyDescent="0.3">
      <c r="C349" s="104" t="s">
        <v>185</v>
      </c>
      <c r="D349" s="104" t="s">
        <v>32</v>
      </c>
      <c r="E349" s="104" t="s">
        <v>71</v>
      </c>
      <c r="F349" s="104">
        <v>2800</v>
      </c>
      <c r="G349" s="104">
        <v>-3400</v>
      </c>
      <c r="H349" s="104">
        <v>205</v>
      </c>
      <c r="I349" s="104">
        <v>-16.585365853658537</v>
      </c>
      <c r="J349" s="104">
        <v>2.0199999999999999E-2</v>
      </c>
      <c r="K349" s="104">
        <v>7.9373746961632952</v>
      </c>
    </row>
    <row r="350" spans="3:11" hidden="1" x14ac:dyDescent="0.3">
      <c r="C350" s="104" t="s">
        <v>186</v>
      </c>
      <c r="D350" s="104" t="s">
        <v>32</v>
      </c>
      <c r="E350" s="104" t="s">
        <v>71</v>
      </c>
      <c r="F350" s="104">
        <v>4200</v>
      </c>
      <c r="G350" s="104">
        <v>1400</v>
      </c>
      <c r="H350" s="104">
        <v>210</v>
      </c>
      <c r="I350" s="104">
        <v>6.666666666666667</v>
      </c>
      <c r="J350" s="104">
        <v>2.0799999999999999E-2</v>
      </c>
      <c r="K350" s="104">
        <v>8.3428398042714598</v>
      </c>
    </row>
    <row r="351" spans="3:11" hidden="1" x14ac:dyDescent="0.3">
      <c r="C351" s="104" t="s">
        <v>14</v>
      </c>
      <c r="D351" s="104" t="s">
        <v>32</v>
      </c>
      <c r="E351" s="104" t="s">
        <v>71</v>
      </c>
      <c r="F351" s="104">
        <v>7530</v>
      </c>
      <c r="G351" s="104">
        <v>3330</v>
      </c>
      <c r="H351" s="104">
        <v>218</v>
      </c>
      <c r="I351" s="104">
        <v>15.275229357798166</v>
      </c>
      <c r="J351" s="104">
        <v>1.5079200387355607E-2</v>
      </c>
      <c r="K351" s="104">
        <v>8.9266503207939394</v>
      </c>
    </row>
    <row r="352" spans="3:11" hidden="1" x14ac:dyDescent="0.3">
      <c r="C352" s="104" t="s">
        <v>64</v>
      </c>
      <c r="D352" s="104" t="s">
        <v>32</v>
      </c>
      <c r="E352" s="104" t="s">
        <v>71</v>
      </c>
      <c r="F352" s="104">
        <v>13726</v>
      </c>
      <c r="G352" s="104">
        <v>6196</v>
      </c>
      <c r="H352" s="104">
        <v>346.95</v>
      </c>
      <c r="I352" s="104">
        <v>17.858481049142529</v>
      </c>
      <c r="J352" s="104">
        <v>2.0963746223564953E-2</v>
      </c>
      <c r="K352" s="104">
        <v>9.5270471234685807</v>
      </c>
    </row>
    <row r="353" spans="3:11" hidden="1" x14ac:dyDescent="0.3">
      <c r="C353" s="104" t="s">
        <v>65</v>
      </c>
      <c r="D353" s="104" t="s">
        <v>32</v>
      </c>
      <c r="E353" s="104" t="s">
        <v>71</v>
      </c>
      <c r="F353" s="104">
        <v>17321</v>
      </c>
      <c r="G353" s="104">
        <v>3595</v>
      </c>
      <c r="H353" s="104">
        <v>258.18</v>
      </c>
      <c r="I353" s="104">
        <v>13.924393833759392</v>
      </c>
      <c r="J353" s="104">
        <v>1.426645300326021E-2</v>
      </c>
      <c r="K353" s="104">
        <v>9.7596749171702797</v>
      </c>
    </row>
    <row r="354" spans="3:11" hidden="1" x14ac:dyDescent="0.3">
      <c r="C354" s="104" t="s">
        <v>66</v>
      </c>
      <c r="D354" s="104" t="s">
        <v>32</v>
      </c>
      <c r="E354" s="104" t="s">
        <v>71</v>
      </c>
      <c r="F354" s="104">
        <v>15500</v>
      </c>
      <c r="G354" s="104">
        <v>-1821</v>
      </c>
      <c r="H354" s="104">
        <v>319.51</v>
      </c>
      <c r="I354" s="104">
        <v>-5.6993521329535852</v>
      </c>
      <c r="J354" s="104">
        <v>1.5210416071598591E-2</v>
      </c>
      <c r="K354" s="104">
        <v>9.6485953029073386</v>
      </c>
    </row>
    <row r="355" spans="3:11" hidden="1" x14ac:dyDescent="0.3">
      <c r="C355" s="104" t="s">
        <v>181</v>
      </c>
      <c r="D355" s="104" t="s">
        <v>36</v>
      </c>
      <c r="E355" s="104" t="s">
        <v>71</v>
      </c>
      <c r="F355" s="104">
        <v>2800</v>
      </c>
      <c r="G355" s="104"/>
      <c r="H355" s="104">
        <v>185</v>
      </c>
      <c r="I355" s="104">
        <v>0</v>
      </c>
      <c r="J355" s="104">
        <v>1.95E-2</v>
      </c>
      <c r="K355" s="104">
        <v>7.9373746961632952</v>
      </c>
    </row>
    <row r="356" spans="3:11" hidden="1" x14ac:dyDescent="0.3">
      <c r="C356" s="104" t="s">
        <v>182</v>
      </c>
      <c r="D356" s="104" t="s">
        <v>36</v>
      </c>
      <c r="E356" s="104" t="s">
        <v>71</v>
      </c>
      <c r="F356" s="104">
        <v>3500</v>
      </c>
      <c r="G356" s="104">
        <v>700</v>
      </c>
      <c r="H356" s="104">
        <v>208</v>
      </c>
      <c r="I356" s="104">
        <v>3.3653846153846154</v>
      </c>
      <c r="J356" s="104">
        <v>2.1499999999999998E-2</v>
      </c>
      <c r="K356" s="104">
        <v>8.1605182474775049</v>
      </c>
    </row>
    <row r="357" spans="3:11" hidden="1" x14ac:dyDescent="0.3">
      <c r="C357" s="104" t="s">
        <v>183</v>
      </c>
      <c r="D357" s="104" t="s">
        <v>36</v>
      </c>
      <c r="E357" s="104" t="s">
        <v>71</v>
      </c>
      <c r="F357" s="104">
        <v>4200</v>
      </c>
      <c r="G357" s="104">
        <v>700</v>
      </c>
      <c r="H357" s="104">
        <v>232</v>
      </c>
      <c r="I357" s="104">
        <v>3.0172413793103448</v>
      </c>
      <c r="J357" s="104">
        <v>2.35E-2</v>
      </c>
      <c r="K357" s="104">
        <v>8.3428398042714598</v>
      </c>
    </row>
    <row r="358" spans="3:11" hidden="1" x14ac:dyDescent="0.3">
      <c r="C358" s="104" t="s">
        <v>184</v>
      </c>
      <c r="D358" s="104" t="s">
        <v>36</v>
      </c>
      <c r="E358" s="104" t="s">
        <v>71</v>
      </c>
      <c r="F358" s="104">
        <v>4800</v>
      </c>
      <c r="G358" s="104">
        <v>600</v>
      </c>
      <c r="H358" s="104">
        <v>258</v>
      </c>
      <c r="I358" s="104">
        <v>2.3255813953488373</v>
      </c>
      <c r="J358" s="104">
        <v>2.52E-2</v>
      </c>
      <c r="K358" s="104">
        <v>8.4763711968959825</v>
      </c>
    </row>
    <row r="359" spans="3:11" hidden="1" x14ac:dyDescent="0.3">
      <c r="C359" s="104" t="s">
        <v>185</v>
      </c>
      <c r="D359" s="104" t="s">
        <v>36</v>
      </c>
      <c r="E359" s="104" t="s">
        <v>71</v>
      </c>
      <c r="F359" s="104">
        <v>3200</v>
      </c>
      <c r="G359" s="104">
        <v>-1600</v>
      </c>
      <c r="H359" s="104">
        <v>272</v>
      </c>
      <c r="I359" s="104">
        <v>-5.882352941176471</v>
      </c>
      <c r="J359" s="104">
        <v>2.6200000000000001E-2</v>
      </c>
      <c r="K359" s="104">
        <v>8.0709060887878188</v>
      </c>
    </row>
    <row r="360" spans="3:11" hidden="1" x14ac:dyDescent="0.3">
      <c r="C360" s="104" t="s">
        <v>186</v>
      </c>
      <c r="D360" s="104" t="s">
        <v>36</v>
      </c>
      <c r="E360" s="104" t="s">
        <v>71</v>
      </c>
      <c r="F360" s="104">
        <v>3800</v>
      </c>
      <c r="G360" s="104">
        <v>600</v>
      </c>
      <c r="H360" s="104">
        <v>285</v>
      </c>
      <c r="I360" s="104">
        <v>2.1052631578947367</v>
      </c>
      <c r="J360" s="104">
        <v>2.7199999999999998E-2</v>
      </c>
      <c r="K360" s="104">
        <v>8.2427563457144775</v>
      </c>
    </row>
    <row r="361" spans="3:11" hidden="1" x14ac:dyDescent="0.3">
      <c r="C361" s="104" t="s">
        <v>14</v>
      </c>
      <c r="D361" s="104" t="s">
        <v>36</v>
      </c>
      <c r="E361" s="104" t="s">
        <v>71</v>
      </c>
      <c r="F361" s="104">
        <v>5460</v>
      </c>
      <c r="G361" s="104">
        <v>1660</v>
      </c>
      <c r="H361" s="104">
        <v>308</v>
      </c>
      <c r="I361" s="104">
        <v>5.3896103896103895</v>
      </c>
      <c r="J361" s="104">
        <v>1.5730337078651686E-2</v>
      </c>
      <c r="K361" s="104">
        <v>8.6052040687389511</v>
      </c>
    </row>
    <row r="362" spans="3:11" hidden="1" x14ac:dyDescent="0.3">
      <c r="C362" s="104" t="s">
        <v>64</v>
      </c>
      <c r="D362" s="104" t="s">
        <v>36</v>
      </c>
      <c r="E362" s="104" t="s">
        <v>71</v>
      </c>
      <c r="F362" s="104">
        <v>8692</v>
      </c>
      <c r="G362" s="104">
        <v>3232</v>
      </c>
      <c r="H362" s="104">
        <v>743</v>
      </c>
      <c r="I362" s="104">
        <v>4.3499327052489907</v>
      </c>
      <c r="J362" s="104">
        <v>4.3170065655685319E-2</v>
      </c>
      <c r="K362" s="104">
        <v>9.0701583413763203</v>
      </c>
    </row>
    <row r="363" spans="3:11" hidden="1" x14ac:dyDescent="0.3">
      <c r="C363" s="104" t="s">
        <v>65</v>
      </c>
      <c r="D363" s="104" t="s">
        <v>36</v>
      </c>
      <c r="E363" s="104" t="s">
        <v>71</v>
      </c>
      <c r="F363" s="104">
        <v>17379</v>
      </c>
      <c r="G363" s="104">
        <v>8687</v>
      </c>
      <c r="H363" s="104">
        <v>305.95999999999998</v>
      </c>
      <c r="I363" s="104">
        <v>28.392600339913717</v>
      </c>
      <c r="J363" s="104">
        <v>1.3883922493987384E-2</v>
      </c>
      <c r="K363" s="104">
        <v>9.7630178597647337</v>
      </c>
    </row>
    <row r="364" spans="3:11" hidden="1" x14ac:dyDescent="0.3">
      <c r="C364" s="104" t="s">
        <v>66</v>
      </c>
      <c r="D364" s="104" t="s">
        <v>36</v>
      </c>
      <c r="E364" s="104" t="s">
        <v>71</v>
      </c>
      <c r="F364" s="104">
        <v>16642</v>
      </c>
      <c r="G364" s="104">
        <v>-737</v>
      </c>
      <c r="H364" s="104">
        <v>645</v>
      </c>
      <c r="I364" s="104">
        <v>-1.1426356589147286</v>
      </c>
      <c r="J364" s="104">
        <v>2.5211069418386491E-2</v>
      </c>
      <c r="K364" s="104">
        <v>9.7196848994603755</v>
      </c>
    </row>
    <row r="365" spans="3:11" hidden="1" x14ac:dyDescent="0.3">
      <c r="C365" s="104" t="s">
        <v>181</v>
      </c>
      <c r="D365" s="104" t="s">
        <v>54</v>
      </c>
      <c r="E365" s="104" t="s">
        <v>71</v>
      </c>
      <c r="F365" s="104">
        <v>128000</v>
      </c>
      <c r="G365" s="104"/>
      <c r="H365" s="104">
        <v>5200</v>
      </c>
      <c r="I365" s="104">
        <v>0</v>
      </c>
      <c r="J365" s="104">
        <v>3.2500000000000001E-2</v>
      </c>
      <c r="K365" s="104">
        <v>11.759785542901755</v>
      </c>
    </row>
    <row r="366" spans="3:11" hidden="1" x14ac:dyDescent="0.3">
      <c r="C366" s="104" t="s">
        <v>182</v>
      </c>
      <c r="D366" s="104" t="s">
        <v>54</v>
      </c>
      <c r="E366" s="104" t="s">
        <v>71</v>
      </c>
      <c r="F366" s="104">
        <v>140000</v>
      </c>
      <c r="G366" s="104">
        <v>12000</v>
      </c>
      <c r="H366" s="104">
        <v>5600</v>
      </c>
      <c r="I366" s="104">
        <v>2.1428571428571428</v>
      </c>
      <c r="J366" s="104">
        <v>3.4200000000000001E-2</v>
      </c>
      <c r="K366" s="104">
        <v>11.849397701591441</v>
      </c>
    </row>
    <row r="367" spans="3:11" hidden="1" x14ac:dyDescent="0.3">
      <c r="C367" s="104" t="s">
        <v>183</v>
      </c>
      <c r="D367" s="104" t="s">
        <v>54</v>
      </c>
      <c r="E367" s="104" t="s">
        <v>71</v>
      </c>
      <c r="F367" s="104">
        <v>175000</v>
      </c>
      <c r="G367" s="104">
        <v>35000</v>
      </c>
      <c r="H367" s="104">
        <v>6100</v>
      </c>
      <c r="I367" s="104">
        <v>5.7377049180327866</v>
      </c>
      <c r="J367" s="104">
        <v>3.6200000000000003E-2</v>
      </c>
      <c r="K367" s="104">
        <v>12.072541252905651</v>
      </c>
    </row>
    <row r="368" spans="3:11" hidden="1" x14ac:dyDescent="0.3">
      <c r="C368" s="104" t="s">
        <v>184</v>
      </c>
      <c r="D368" s="104" t="s">
        <v>54</v>
      </c>
      <c r="E368" s="104" t="s">
        <v>71</v>
      </c>
      <c r="F368" s="104">
        <v>185000</v>
      </c>
      <c r="G368" s="104">
        <v>10000</v>
      </c>
      <c r="H368" s="104">
        <v>6500</v>
      </c>
      <c r="I368" s="104">
        <v>1.5384615384615385</v>
      </c>
      <c r="J368" s="104">
        <v>3.7999999999999999E-2</v>
      </c>
      <c r="K368" s="104">
        <v>12.128111104060462</v>
      </c>
    </row>
    <row r="369" spans="2:11" hidden="1" x14ac:dyDescent="0.3">
      <c r="C369" s="104" t="s">
        <v>185</v>
      </c>
      <c r="D369" s="104" t="s">
        <v>54</v>
      </c>
      <c r="E369" s="104" t="s">
        <v>71</v>
      </c>
      <c r="F369" s="104">
        <v>145000</v>
      </c>
      <c r="G369" s="104">
        <v>-40000</v>
      </c>
      <c r="H369" s="104">
        <v>6800</v>
      </c>
      <c r="I369" s="104">
        <v>-5.882352941176471</v>
      </c>
      <c r="J369" s="104">
        <v>3.95E-2</v>
      </c>
      <c r="K369" s="104">
        <v>11.884489021402711</v>
      </c>
    </row>
    <row r="370" spans="2:11" hidden="1" x14ac:dyDescent="0.3">
      <c r="C370" s="104" t="s">
        <v>186</v>
      </c>
      <c r="D370" s="104" t="s">
        <v>54</v>
      </c>
      <c r="E370" s="104" t="s">
        <v>71</v>
      </c>
      <c r="F370" s="104">
        <v>188000</v>
      </c>
      <c r="G370" s="104">
        <v>43000</v>
      </c>
      <c r="H370" s="104">
        <v>6900</v>
      </c>
      <c r="I370" s="104">
        <v>6.2318840579710146</v>
      </c>
      <c r="J370" s="104">
        <v>3.5200000000000002E-2</v>
      </c>
      <c r="K370" s="104">
        <v>12.144197241812087</v>
      </c>
    </row>
    <row r="371" spans="2:11" hidden="1" x14ac:dyDescent="0.3">
      <c r="C371" s="104" t="s">
        <v>14</v>
      </c>
      <c r="D371" s="104" t="s">
        <v>54</v>
      </c>
      <c r="E371" s="104" t="s">
        <v>71</v>
      </c>
      <c r="F371" s="104">
        <v>293100</v>
      </c>
      <c r="G371" s="104">
        <v>105100</v>
      </c>
      <c r="H371" s="104">
        <v>6965</v>
      </c>
      <c r="I371" s="104">
        <v>15.089734386216799</v>
      </c>
      <c r="J371" s="104">
        <v>3.5700000000000003E-2</v>
      </c>
      <c r="K371" s="104">
        <v>12.588269126698984</v>
      </c>
    </row>
    <row r="372" spans="2:11" hidden="1" x14ac:dyDescent="0.3">
      <c r="C372" s="104" t="s">
        <v>64</v>
      </c>
      <c r="D372" s="104" t="s">
        <v>54</v>
      </c>
      <c r="E372" s="104" t="s">
        <v>71</v>
      </c>
      <c r="F372" s="104">
        <v>485100</v>
      </c>
      <c r="G372" s="104">
        <v>192000</v>
      </c>
      <c r="H372" s="104">
        <v>8521</v>
      </c>
      <c r="I372" s="104">
        <v>22.532566600164301</v>
      </c>
      <c r="J372" s="104">
        <v>4.24E-2</v>
      </c>
      <c r="K372" s="104">
        <v>13.092110334233308</v>
      </c>
    </row>
    <row r="373" spans="2:11" hidden="1" x14ac:dyDescent="0.3">
      <c r="C373" s="104" t="s">
        <v>65</v>
      </c>
      <c r="D373" s="104" t="s">
        <v>54</v>
      </c>
      <c r="E373" s="104" t="s">
        <v>71</v>
      </c>
      <c r="F373" s="104">
        <v>498400</v>
      </c>
      <c r="G373" s="104">
        <v>13300</v>
      </c>
      <c r="H373" s="104">
        <v>10752</v>
      </c>
      <c r="I373" s="104">
        <v>1.2369791666666667</v>
      </c>
      <c r="J373" s="104">
        <v>4.8000000000000001E-2</v>
      </c>
      <c r="K373" s="104">
        <v>13.119158246455381</v>
      </c>
    </row>
    <row r="374" spans="2:11" hidden="1" x14ac:dyDescent="0.3">
      <c r="C374" s="104" t="s">
        <v>66</v>
      </c>
      <c r="D374" s="104" t="s">
        <v>54</v>
      </c>
      <c r="E374" s="104" t="s">
        <v>71</v>
      </c>
      <c r="F374" s="104">
        <v>556300</v>
      </c>
      <c r="G374" s="104">
        <v>57900</v>
      </c>
      <c r="H374" s="104">
        <v>11248</v>
      </c>
      <c r="I374" s="104">
        <v>5.1475817923186344</v>
      </c>
      <c r="J374" s="104">
        <v>5.21E-2</v>
      </c>
      <c r="K374" s="104">
        <v>13.229062996063385</v>
      </c>
    </row>
    <row r="376" spans="2:11" x14ac:dyDescent="0.3">
      <c r="B376" s="13" t="s">
        <v>71</v>
      </c>
      <c r="C376" t="s">
        <v>89</v>
      </c>
    </row>
    <row r="377" spans="2:11" ht="15" thickBot="1" x14ac:dyDescent="0.35"/>
    <row r="378" spans="2:11" x14ac:dyDescent="0.3">
      <c r="C378" s="159" t="s">
        <v>90</v>
      </c>
      <c r="D378" s="159"/>
    </row>
    <row r="379" spans="2:11" x14ac:dyDescent="0.3">
      <c r="C379" s="156" t="s">
        <v>91</v>
      </c>
      <c r="D379" s="156">
        <v>0.75690570532575951</v>
      </c>
    </row>
    <row r="380" spans="2:11" x14ac:dyDescent="0.3">
      <c r="C380" s="156" t="s">
        <v>92</v>
      </c>
      <c r="D380" s="156">
        <v>0.57290624675468549</v>
      </c>
    </row>
    <row r="381" spans="2:11" x14ac:dyDescent="0.3">
      <c r="C381" s="156" t="s">
        <v>93</v>
      </c>
      <c r="D381" s="156">
        <v>0.56166693745875618</v>
      </c>
    </row>
    <row r="382" spans="2:11" x14ac:dyDescent="0.3">
      <c r="C382" s="156" t="s">
        <v>76</v>
      </c>
      <c r="D382" s="156">
        <v>1.1163851494076686</v>
      </c>
    </row>
    <row r="383" spans="2:11" ht="15" thickBot="1" x14ac:dyDescent="0.35">
      <c r="C383" s="157" t="s">
        <v>94</v>
      </c>
      <c r="D383" s="157">
        <v>40</v>
      </c>
    </row>
    <row r="385" spans="3:11" ht="15" thickBot="1" x14ac:dyDescent="0.35">
      <c r="C385" t="s">
        <v>95</v>
      </c>
    </row>
    <row r="386" spans="3:11" x14ac:dyDescent="0.3">
      <c r="C386" s="158"/>
      <c r="D386" s="158" t="s">
        <v>100</v>
      </c>
      <c r="E386" s="158" t="s">
        <v>101</v>
      </c>
      <c r="F386" s="158" t="s">
        <v>102</v>
      </c>
      <c r="G386" s="158" t="s">
        <v>103</v>
      </c>
      <c r="H386" s="158" t="s">
        <v>104</v>
      </c>
    </row>
    <row r="387" spans="3:11" x14ac:dyDescent="0.3">
      <c r="C387" s="156" t="s">
        <v>96</v>
      </c>
      <c r="D387" s="156">
        <v>1</v>
      </c>
      <c r="E387" s="156">
        <v>63.529002493881237</v>
      </c>
      <c r="F387" s="156">
        <v>63.529002493881237</v>
      </c>
      <c r="G387" s="156">
        <v>50.973438996129559</v>
      </c>
      <c r="H387" s="156">
        <v>1.5934039655077128E-8</v>
      </c>
    </row>
    <row r="388" spans="3:11" x14ac:dyDescent="0.3">
      <c r="C388" s="156" t="s">
        <v>97</v>
      </c>
      <c r="D388" s="156">
        <v>38</v>
      </c>
      <c r="E388" s="156">
        <v>47.360000469083346</v>
      </c>
      <c r="F388" s="156">
        <v>1.2463158018179827</v>
      </c>
      <c r="G388" s="156"/>
      <c r="H388" s="156"/>
    </row>
    <row r="389" spans="3:11" ht="15" thickBot="1" x14ac:dyDescent="0.35">
      <c r="C389" s="157" t="s">
        <v>98</v>
      </c>
      <c r="D389" s="157">
        <v>39</v>
      </c>
      <c r="E389" s="157">
        <v>110.88900296296458</v>
      </c>
      <c r="F389" s="157"/>
      <c r="G389" s="157"/>
      <c r="H389" s="157"/>
    </row>
    <row r="390" spans="3:11" ht="15" thickBot="1" x14ac:dyDescent="0.35"/>
    <row r="391" spans="3:11" x14ac:dyDescent="0.3">
      <c r="C391" s="158"/>
      <c r="D391" s="158" t="s">
        <v>105</v>
      </c>
      <c r="E391" s="158" t="s">
        <v>76</v>
      </c>
      <c r="F391" s="158" t="s">
        <v>106</v>
      </c>
      <c r="G391" s="158" t="s">
        <v>107</v>
      </c>
      <c r="H391" s="158" t="s">
        <v>108</v>
      </c>
      <c r="I391" s="158" t="s">
        <v>109</v>
      </c>
      <c r="J391" s="158" t="s">
        <v>110</v>
      </c>
      <c r="K391" s="158" t="s">
        <v>111</v>
      </c>
    </row>
    <row r="392" spans="3:11" x14ac:dyDescent="0.3">
      <c r="C392" s="156" t="s">
        <v>99</v>
      </c>
      <c r="D392" s="156">
        <v>6.2049231337240451</v>
      </c>
      <c r="E392" s="156">
        <v>0.51943236816164629</v>
      </c>
      <c r="F392" s="156">
        <v>11.94558428402191</v>
      </c>
      <c r="G392" s="19">
        <v>1.9562907377966116E-14</v>
      </c>
      <c r="H392" s="156">
        <v>5.1533872790706345</v>
      </c>
      <c r="I392" s="156">
        <v>7.2564589883774557</v>
      </c>
      <c r="J392" s="156">
        <v>5.1533872790706345</v>
      </c>
      <c r="K392" s="156">
        <v>7.2564589883774557</v>
      </c>
    </row>
    <row r="393" spans="3:11" ht="29.4" thickBot="1" x14ac:dyDescent="0.35">
      <c r="C393" s="160" t="s">
        <v>6</v>
      </c>
      <c r="D393" s="157">
        <v>128.84282309759425</v>
      </c>
      <c r="E393" s="157">
        <v>18.046303820947291</v>
      </c>
      <c r="F393" s="157">
        <v>7.1395685441159218</v>
      </c>
      <c r="G393" s="20">
        <v>1.593403965507724E-8</v>
      </c>
      <c r="H393" s="157">
        <v>92.309990962286264</v>
      </c>
      <c r="I393" s="157">
        <v>165.37565523290223</v>
      </c>
      <c r="J393" s="157">
        <v>92.309990962286264</v>
      </c>
      <c r="K393" s="157">
        <v>165.37565523290223</v>
      </c>
    </row>
    <row r="395" spans="3:11" hidden="1" x14ac:dyDescent="0.3">
      <c r="C395" s="13" t="s">
        <v>59</v>
      </c>
    </row>
    <row r="396" spans="3:11" hidden="1" x14ac:dyDescent="0.3">
      <c r="C396" s="104" t="s">
        <v>0</v>
      </c>
      <c r="D396" s="104" t="s">
        <v>2</v>
      </c>
      <c r="E396" s="104" t="s">
        <v>230</v>
      </c>
      <c r="F396" s="104" t="s">
        <v>229</v>
      </c>
      <c r="G396" s="104" t="s">
        <v>228</v>
      </c>
      <c r="H396" s="104" t="s">
        <v>227</v>
      </c>
      <c r="I396" s="104" t="s">
        <v>226</v>
      </c>
      <c r="J396" s="104" t="s">
        <v>6</v>
      </c>
      <c r="K396" s="104" t="s">
        <v>13</v>
      </c>
    </row>
    <row r="397" spans="3:11" hidden="1" x14ac:dyDescent="0.3">
      <c r="C397" s="104" t="s">
        <v>181</v>
      </c>
      <c r="D397" s="104" t="s">
        <v>38</v>
      </c>
      <c r="E397" s="104" t="s">
        <v>59</v>
      </c>
      <c r="F397" s="104">
        <v>50000</v>
      </c>
      <c r="G397" s="104"/>
      <c r="H397" s="104">
        <v>2200</v>
      </c>
      <c r="I397" s="104">
        <v>0</v>
      </c>
      <c r="J397" s="104">
        <v>4.5199999999999997E-2</v>
      </c>
      <c r="K397" s="104">
        <v>10.819778284410283</v>
      </c>
    </row>
    <row r="398" spans="3:11" hidden="1" x14ac:dyDescent="0.3">
      <c r="C398" s="104" t="s">
        <v>182</v>
      </c>
      <c r="D398" s="104" t="s">
        <v>38</v>
      </c>
      <c r="E398" s="104" t="s">
        <v>59</v>
      </c>
      <c r="F398" s="104">
        <v>60000</v>
      </c>
      <c r="G398" s="104">
        <v>10000</v>
      </c>
      <c r="H398" s="104">
        <v>2580</v>
      </c>
      <c r="I398" s="104">
        <v>3.8759689922480618</v>
      </c>
      <c r="J398" s="104">
        <v>4.8800000000000003E-2</v>
      </c>
      <c r="K398" s="104">
        <v>11.002099841204238</v>
      </c>
    </row>
    <row r="399" spans="3:11" hidden="1" x14ac:dyDescent="0.3">
      <c r="C399" s="104" t="s">
        <v>183</v>
      </c>
      <c r="D399" s="104" t="s">
        <v>38</v>
      </c>
      <c r="E399" s="104" t="s">
        <v>59</v>
      </c>
      <c r="F399" s="104">
        <v>80000</v>
      </c>
      <c r="G399" s="104">
        <v>20000</v>
      </c>
      <c r="H399" s="104">
        <v>3050</v>
      </c>
      <c r="I399" s="104">
        <v>6.557377049180328</v>
      </c>
      <c r="J399" s="104">
        <v>5.28E-2</v>
      </c>
      <c r="K399" s="104">
        <v>11.289781913656018</v>
      </c>
    </row>
    <row r="400" spans="3:11" hidden="1" x14ac:dyDescent="0.3">
      <c r="C400" s="104" t="s">
        <v>184</v>
      </c>
      <c r="D400" s="104" t="s">
        <v>38</v>
      </c>
      <c r="E400" s="104" t="s">
        <v>59</v>
      </c>
      <c r="F400" s="104">
        <v>95000</v>
      </c>
      <c r="G400" s="104">
        <v>15000</v>
      </c>
      <c r="H400" s="104">
        <v>3480</v>
      </c>
      <c r="I400" s="104">
        <v>4.3103448275862073</v>
      </c>
      <c r="J400" s="104">
        <v>5.5800000000000002E-2</v>
      </c>
      <c r="K400" s="104">
        <v>11.461632170582678</v>
      </c>
    </row>
    <row r="401" spans="3:11" hidden="1" x14ac:dyDescent="0.3">
      <c r="C401" s="104" t="s">
        <v>185</v>
      </c>
      <c r="D401" s="104" t="s">
        <v>38</v>
      </c>
      <c r="E401" s="104" t="s">
        <v>59</v>
      </c>
      <c r="F401" s="104">
        <v>75000</v>
      </c>
      <c r="G401" s="104">
        <v>-20000</v>
      </c>
      <c r="H401" s="104">
        <v>3680</v>
      </c>
      <c r="I401" s="104">
        <v>-5.4347826086956523</v>
      </c>
      <c r="J401" s="104">
        <v>5.7200000000000001E-2</v>
      </c>
      <c r="K401" s="104">
        <v>11.225243392518447</v>
      </c>
    </row>
    <row r="402" spans="3:11" hidden="1" x14ac:dyDescent="0.3">
      <c r="C402" s="104" t="s">
        <v>186</v>
      </c>
      <c r="D402" s="104" t="s">
        <v>38</v>
      </c>
      <c r="E402" s="104" t="s">
        <v>59</v>
      </c>
      <c r="F402" s="104">
        <v>100000</v>
      </c>
      <c r="G402" s="104">
        <v>25000</v>
      </c>
      <c r="H402" s="104">
        <v>3750</v>
      </c>
      <c r="I402" s="104">
        <v>6.666666666666667</v>
      </c>
      <c r="J402" s="104">
        <v>3.7999999999999999E-2</v>
      </c>
      <c r="K402" s="104">
        <v>11.512925464970229</v>
      </c>
    </row>
    <row r="403" spans="3:11" hidden="1" x14ac:dyDescent="0.3">
      <c r="C403" s="104" t="s">
        <v>14</v>
      </c>
      <c r="D403" s="104" t="s">
        <v>38</v>
      </c>
      <c r="E403" s="104" t="s">
        <v>59</v>
      </c>
      <c r="F403" s="104">
        <v>165821.29855500002</v>
      </c>
      <c r="G403" s="104">
        <v>65821.298555000016</v>
      </c>
      <c r="H403" s="104">
        <v>3813</v>
      </c>
      <c r="I403" s="104">
        <v>17.262338986362447</v>
      </c>
      <c r="J403" s="104">
        <v>3.8250489040477502E-2</v>
      </c>
      <c r="K403" s="104">
        <v>12.018665972751595</v>
      </c>
    </row>
    <row r="404" spans="3:11" hidden="1" x14ac:dyDescent="0.3">
      <c r="C404" s="104" t="s">
        <v>64</v>
      </c>
      <c r="D404" s="104" t="s">
        <v>38</v>
      </c>
      <c r="E404" s="104" t="s">
        <v>59</v>
      </c>
      <c r="F404" s="104">
        <v>136304.7674295</v>
      </c>
      <c r="G404" s="104">
        <v>-29516.531125500012</v>
      </c>
      <c r="H404" s="104">
        <v>9141</v>
      </c>
      <c r="I404" s="104">
        <v>-3.2290264878569097</v>
      </c>
      <c r="J404" s="104">
        <v>7.9552673948044036E-2</v>
      </c>
      <c r="K404" s="104">
        <v>11.822648594545413</v>
      </c>
    </row>
    <row r="405" spans="3:11" hidden="1" x14ac:dyDescent="0.3">
      <c r="C405" s="104" t="s">
        <v>65</v>
      </c>
      <c r="D405" s="104" t="s">
        <v>38</v>
      </c>
      <c r="E405" s="104" t="s">
        <v>59</v>
      </c>
      <c r="F405" s="104">
        <v>289674.63252449996</v>
      </c>
      <c r="G405" s="104">
        <v>153369.86509499996</v>
      </c>
      <c r="H405" s="104">
        <v>7416</v>
      </c>
      <c r="I405" s="104">
        <v>20.680941895226532</v>
      </c>
      <c r="J405" s="104">
        <v>6.236282449103156E-2</v>
      </c>
      <c r="K405" s="104">
        <v>12.576513615285879</v>
      </c>
    </row>
    <row r="406" spans="3:11" hidden="1" x14ac:dyDescent="0.3">
      <c r="C406" s="104" t="s">
        <v>66</v>
      </c>
      <c r="D406" s="104" t="s">
        <v>38</v>
      </c>
      <c r="E406" s="104" t="s">
        <v>59</v>
      </c>
      <c r="F406" s="104">
        <v>255328.42329899999</v>
      </c>
      <c r="G406" s="104">
        <v>-34346.209225499973</v>
      </c>
      <c r="H406" s="104">
        <v>8048</v>
      </c>
      <c r="I406" s="104">
        <v>-4.2676701323931381</v>
      </c>
      <c r="J406" s="104">
        <v>5.946856619277037E-2</v>
      </c>
      <c r="K406" s="104">
        <v>12.450305929970243</v>
      </c>
    </row>
    <row r="407" spans="3:11" hidden="1" x14ac:dyDescent="0.3">
      <c r="C407" s="104" t="s">
        <v>181</v>
      </c>
      <c r="D407" s="104" t="s">
        <v>42</v>
      </c>
      <c r="E407" s="104" t="s">
        <v>59</v>
      </c>
      <c r="F407" s="104">
        <v>600</v>
      </c>
      <c r="G407" s="104"/>
      <c r="H407" s="104">
        <v>480</v>
      </c>
      <c r="I407" s="104">
        <v>0</v>
      </c>
      <c r="J407" s="104">
        <v>3.85E-2</v>
      </c>
      <c r="K407" s="104">
        <v>6.3969296552161463</v>
      </c>
    </row>
    <row r="408" spans="3:11" hidden="1" x14ac:dyDescent="0.3">
      <c r="C408" s="104" t="s">
        <v>182</v>
      </c>
      <c r="D408" s="104" t="s">
        <v>42</v>
      </c>
      <c r="E408" s="104" t="s">
        <v>59</v>
      </c>
      <c r="F408" s="104">
        <v>850</v>
      </c>
      <c r="G408" s="104">
        <v>250</v>
      </c>
      <c r="H408" s="104">
        <v>620</v>
      </c>
      <c r="I408" s="104">
        <v>0.40322580645161288</v>
      </c>
      <c r="J408" s="104">
        <v>4.2799999999999998E-2</v>
      </c>
      <c r="K408" s="104">
        <v>6.7452363494843626</v>
      </c>
    </row>
    <row r="409" spans="3:11" hidden="1" x14ac:dyDescent="0.3">
      <c r="C409" s="104" t="s">
        <v>183</v>
      </c>
      <c r="D409" s="104" t="s">
        <v>42</v>
      </c>
      <c r="E409" s="104" t="s">
        <v>59</v>
      </c>
      <c r="F409" s="104">
        <v>1200</v>
      </c>
      <c r="G409" s="104">
        <v>350</v>
      </c>
      <c r="H409" s="104">
        <v>780</v>
      </c>
      <c r="I409" s="104">
        <v>0.44871794871794873</v>
      </c>
      <c r="J409" s="104">
        <v>4.7199999999999999E-2</v>
      </c>
      <c r="K409" s="104">
        <v>7.0900768357760917</v>
      </c>
    </row>
    <row r="410" spans="3:11" hidden="1" x14ac:dyDescent="0.3">
      <c r="C410" s="104" t="s">
        <v>184</v>
      </c>
      <c r="D410" s="104" t="s">
        <v>42</v>
      </c>
      <c r="E410" s="104" t="s">
        <v>59</v>
      </c>
      <c r="F410" s="104">
        <v>1650</v>
      </c>
      <c r="G410" s="104">
        <v>450</v>
      </c>
      <c r="H410" s="104">
        <v>980</v>
      </c>
      <c r="I410" s="104">
        <v>0.45918367346938777</v>
      </c>
      <c r="J410" s="104">
        <v>5.1499999999999997E-2</v>
      </c>
      <c r="K410" s="104">
        <v>7.4085305668946262</v>
      </c>
    </row>
    <row r="411" spans="3:11" hidden="1" x14ac:dyDescent="0.3">
      <c r="C411" s="104" t="s">
        <v>185</v>
      </c>
      <c r="D411" s="104" t="s">
        <v>42</v>
      </c>
      <c r="E411" s="104" t="s">
        <v>59</v>
      </c>
      <c r="F411" s="104">
        <v>1950</v>
      </c>
      <c r="G411" s="104">
        <v>300</v>
      </c>
      <c r="H411" s="104">
        <v>1180</v>
      </c>
      <c r="I411" s="104">
        <v>0.25423728813559321</v>
      </c>
      <c r="J411" s="104">
        <v>5.4800000000000001E-2</v>
      </c>
      <c r="K411" s="104">
        <v>7.5755846515577927</v>
      </c>
    </row>
    <row r="412" spans="3:11" hidden="1" x14ac:dyDescent="0.3">
      <c r="C412" s="104" t="s">
        <v>186</v>
      </c>
      <c r="D412" s="104" t="s">
        <v>42</v>
      </c>
      <c r="E412" s="104" t="s">
        <v>59</v>
      </c>
      <c r="F412" s="104">
        <v>2600</v>
      </c>
      <c r="G412" s="104">
        <v>650</v>
      </c>
      <c r="H412" s="104">
        <v>1350</v>
      </c>
      <c r="I412" s="104">
        <v>0.48148148148148145</v>
      </c>
      <c r="J412" s="104">
        <v>5.7799999999999997E-2</v>
      </c>
      <c r="K412" s="104">
        <v>7.8632667240095735</v>
      </c>
    </row>
    <row r="413" spans="3:11" hidden="1" x14ac:dyDescent="0.3">
      <c r="C413" s="104" t="s">
        <v>14</v>
      </c>
      <c r="D413" s="104" t="s">
        <v>42</v>
      </c>
      <c r="E413" s="104" t="s">
        <v>59</v>
      </c>
      <c r="F413" s="104">
        <v>3462</v>
      </c>
      <c r="G413" s="104">
        <v>862</v>
      </c>
      <c r="H413" s="104">
        <v>1549</v>
      </c>
      <c r="I413" s="104">
        <v>0.55648805681084568</v>
      </c>
      <c r="J413" s="104">
        <v>0.33343450455162854</v>
      </c>
      <c r="K413" s="104">
        <v>8.1496017357361552</v>
      </c>
    </row>
    <row r="414" spans="3:11" hidden="1" x14ac:dyDescent="0.3">
      <c r="C414" s="104" t="s">
        <v>64</v>
      </c>
      <c r="D414" s="104" t="s">
        <v>42</v>
      </c>
      <c r="E414" s="104" t="s">
        <v>59</v>
      </c>
      <c r="F414" s="104">
        <v>4089</v>
      </c>
      <c r="G414" s="104">
        <v>627</v>
      </c>
      <c r="H414" s="104">
        <v>2738</v>
      </c>
      <c r="I414" s="104">
        <v>0.22899926953981009</v>
      </c>
      <c r="J414" s="104">
        <v>0.48122721728340384</v>
      </c>
      <c r="K414" s="104">
        <v>8.316055720364643</v>
      </c>
    </row>
    <row r="415" spans="3:11" hidden="1" x14ac:dyDescent="0.3">
      <c r="C415" s="104" t="s">
        <v>65</v>
      </c>
      <c r="D415" s="104" t="s">
        <v>42</v>
      </c>
      <c r="E415" s="104" t="s">
        <v>59</v>
      </c>
      <c r="F415" s="104">
        <v>51523</v>
      </c>
      <c r="G415" s="104">
        <v>47434</v>
      </c>
      <c r="H415" s="104">
        <v>2070</v>
      </c>
      <c r="I415" s="104">
        <v>22.914975845410627</v>
      </c>
      <c r="J415" s="104">
        <v>0.18813050986094701</v>
      </c>
      <c r="K415" s="104">
        <v>10.84978358889661</v>
      </c>
    </row>
    <row r="416" spans="3:11" hidden="1" x14ac:dyDescent="0.3">
      <c r="C416" s="104" t="s">
        <v>66</v>
      </c>
      <c r="D416" s="104" t="s">
        <v>42</v>
      </c>
      <c r="E416" s="104" t="s">
        <v>59</v>
      </c>
      <c r="F416" s="104">
        <v>67158</v>
      </c>
      <c r="G416" s="104">
        <v>15635</v>
      </c>
      <c r="H416" s="104">
        <v>2075</v>
      </c>
      <c r="I416" s="104">
        <v>7.5349397590361447</v>
      </c>
      <c r="J416" s="104">
        <v>0.19784515636918382</v>
      </c>
      <c r="K416" s="104">
        <v>11.114803331117322</v>
      </c>
    </row>
    <row r="417" spans="2:11" hidden="1" x14ac:dyDescent="0.3">
      <c r="C417" s="104" t="s">
        <v>181</v>
      </c>
      <c r="D417" s="104" t="s">
        <v>58</v>
      </c>
      <c r="E417" s="104" t="s">
        <v>59</v>
      </c>
      <c r="F417" s="104">
        <v>3200</v>
      </c>
      <c r="G417" s="104"/>
      <c r="H417" s="104">
        <v>28</v>
      </c>
      <c r="I417" s="104">
        <v>0</v>
      </c>
      <c r="J417" s="104">
        <v>2.8500000000000001E-3</v>
      </c>
      <c r="K417" s="104">
        <v>8.0709060887878188</v>
      </c>
    </row>
    <row r="418" spans="2:11" hidden="1" x14ac:dyDescent="0.3">
      <c r="C418" s="104" t="s">
        <v>182</v>
      </c>
      <c r="D418" s="104" t="s">
        <v>58</v>
      </c>
      <c r="E418" s="104" t="s">
        <v>59</v>
      </c>
      <c r="F418" s="104">
        <v>3800</v>
      </c>
      <c r="G418" s="104">
        <v>600</v>
      </c>
      <c r="H418" s="104">
        <v>18</v>
      </c>
      <c r="I418" s="104">
        <v>33.333333333333336</v>
      </c>
      <c r="J418" s="104">
        <v>1.82E-3</v>
      </c>
      <c r="K418" s="104">
        <v>8.2427563457144775</v>
      </c>
    </row>
    <row r="419" spans="2:11" hidden="1" x14ac:dyDescent="0.3">
      <c r="C419" s="104" t="s">
        <v>183</v>
      </c>
      <c r="D419" s="104" t="s">
        <v>58</v>
      </c>
      <c r="E419" s="104" t="s">
        <v>59</v>
      </c>
      <c r="F419" s="104">
        <v>4200</v>
      </c>
      <c r="G419" s="104">
        <v>400</v>
      </c>
      <c r="H419" s="104">
        <v>22</v>
      </c>
      <c r="I419" s="104">
        <v>18.181818181818183</v>
      </c>
      <c r="J419" s="104">
        <v>2.1800000000000001E-3</v>
      </c>
      <c r="K419" s="104">
        <v>8.3428398042714598</v>
      </c>
    </row>
    <row r="420" spans="2:11" hidden="1" x14ac:dyDescent="0.3">
      <c r="C420" s="104" t="s">
        <v>184</v>
      </c>
      <c r="D420" s="104" t="s">
        <v>58</v>
      </c>
      <c r="E420" s="104" t="s">
        <v>59</v>
      </c>
      <c r="F420" s="104">
        <v>4500</v>
      </c>
      <c r="G420" s="104">
        <v>300</v>
      </c>
      <c r="H420" s="104">
        <v>25</v>
      </c>
      <c r="I420" s="104">
        <v>12</v>
      </c>
      <c r="J420" s="104">
        <v>2.4499999999999999E-3</v>
      </c>
      <c r="K420" s="104">
        <v>8.4118326757584114</v>
      </c>
    </row>
    <row r="421" spans="2:11" hidden="1" x14ac:dyDescent="0.3">
      <c r="C421" s="104" t="s">
        <v>185</v>
      </c>
      <c r="D421" s="104" t="s">
        <v>58</v>
      </c>
      <c r="E421" s="104" t="s">
        <v>59</v>
      </c>
      <c r="F421" s="104">
        <v>3200</v>
      </c>
      <c r="G421" s="104">
        <v>-1300</v>
      </c>
      <c r="H421" s="104">
        <v>20</v>
      </c>
      <c r="I421" s="104">
        <v>-65</v>
      </c>
      <c r="J421" s="104">
        <v>1.98E-3</v>
      </c>
      <c r="K421" s="104">
        <v>8.0709060887878188</v>
      </c>
    </row>
    <row r="422" spans="2:11" hidden="1" x14ac:dyDescent="0.3">
      <c r="C422" s="104" t="s">
        <v>186</v>
      </c>
      <c r="D422" s="104" t="s">
        <v>58</v>
      </c>
      <c r="E422" s="104" t="s">
        <v>59</v>
      </c>
      <c r="F422" s="104">
        <v>3800</v>
      </c>
      <c r="G422" s="104">
        <v>600</v>
      </c>
      <c r="H422" s="104">
        <v>18</v>
      </c>
      <c r="I422" s="104">
        <v>33.333333333333336</v>
      </c>
      <c r="J422" s="104">
        <v>1.7799999999999999E-3</v>
      </c>
      <c r="K422" s="104">
        <v>8.2427563457144775</v>
      </c>
    </row>
    <row r="423" spans="2:11" hidden="1" x14ac:dyDescent="0.3">
      <c r="C423" s="104" t="s">
        <v>14</v>
      </c>
      <c r="D423" s="104" t="s">
        <v>58</v>
      </c>
      <c r="E423" s="104" t="s">
        <v>59</v>
      </c>
      <c r="F423" s="104">
        <v>3799.5239999999999</v>
      </c>
      <c r="G423" s="104">
        <v>-0.47600000000011278</v>
      </c>
      <c r="H423" s="104">
        <v>0</v>
      </c>
      <c r="I423" s="104">
        <v>0</v>
      </c>
      <c r="J423" s="104">
        <v>0</v>
      </c>
      <c r="K423" s="104">
        <v>8.2426310747104985</v>
      </c>
    </row>
    <row r="424" spans="2:11" hidden="1" x14ac:dyDescent="0.3">
      <c r="C424" s="104" t="s">
        <v>64</v>
      </c>
      <c r="D424" s="104" t="s">
        <v>58</v>
      </c>
      <c r="E424" s="104" t="s">
        <v>59</v>
      </c>
      <c r="F424" s="104">
        <v>5629.1930000000002</v>
      </c>
      <c r="G424" s="104">
        <v>1829.6690000000003</v>
      </c>
      <c r="H424" s="104">
        <v>0</v>
      </c>
      <c r="I424" s="104">
        <v>0</v>
      </c>
      <c r="J424" s="104">
        <v>0</v>
      </c>
      <c r="K424" s="104">
        <v>8.6357213716056869</v>
      </c>
    </row>
    <row r="425" spans="2:11" hidden="1" x14ac:dyDescent="0.3">
      <c r="C425" s="104" t="s">
        <v>65</v>
      </c>
      <c r="D425" s="104" t="s">
        <v>58</v>
      </c>
      <c r="E425" s="104" t="s">
        <v>59</v>
      </c>
      <c r="F425" s="104">
        <v>10393.1</v>
      </c>
      <c r="G425" s="104">
        <v>4763.9070000000002</v>
      </c>
      <c r="H425" s="104">
        <v>0</v>
      </c>
      <c r="I425" s="104">
        <v>0</v>
      </c>
      <c r="J425" s="104">
        <v>0</v>
      </c>
      <c r="K425" s="104">
        <v>9.2488974034029994</v>
      </c>
    </row>
    <row r="426" spans="2:11" hidden="1" x14ac:dyDescent="0.3">
      <c r="C426" s="104" t="s">
        <v>66</v>
      </c>
      <c r="D426" s="104" t="s">
        <v>58</v>
      </c>
      <c r="E426" s="104" t="s">
        <v>59</v>
      </c>
      <c r="F426" s="104">
        <v>6675.2706000000007</v>
      </c>
      <c r="G426" s="104">
        <v>-3717.8293999999996</v>
      </c>
      <c r="H426" s="104">
        <v>0.25</v>
      </c>
      <c r="I426" s="104">
        <v>-14871.317599999998</v>
      </c>
      <c r="J426" s="104">
        <v>1.672522726238804E-4</v>
      </c>
      <c r="K426" s="104">
        <v>8.8061650217725962</v>
      </c>
    </row>
    <row r="428" spans="2:11" x14ac:dyDescent="0.3">
      <c r="B428" s="13" t="s">
        <v>59</v>
      </c>
      <c r="C428" t="s">
        <v>89</v>
      </c>
    </row>
    <row r="429" spans="2:11" ht="15" thickBot="1" x14ac:dyDescent="0.35"/>
    <row r="430" spans="2:11" x14ac:dyDescent="0.3">
      <c r="C430" s="159" t="s">
        <v>90</v>
      </c>
      <c r="D430" s="159"/>
    </row>
    <row r="431" spans="2:11" x14ac:dyDescent="0.3">
      <c r="C431" s="156" t="s">
        <v>91</v>
      </c>
      <c r="D431" s="156">
        <v>4.2279212901637241E-2</v>
      </c>
    </row>
    <row r="432" spans="2:11" x14ac:dyDescent="0.3">
      <c r="C432" s="156" t="s">
        <v>92</v>
      </c>
      <c r="D432" s="156">
        <v>1.7875318435819688E-3</v>
      </c>
    </row>
    <row r="433" spans="3:11" x14ac:dyDescent="0.3">
      <c r="C433" s="156" t="s">
        <v>93</v>
      </c>
      <c r="D433" s="156">
        <v>-3.3862913447718676E-2</v>
      </c>
    </row>
    <row r="434" spans="3:11" x14ac:dyDescent="0.3">
      <c r="C434" s="156" t="s">
        <v>76</v>
      </c>
      <c r="D434" s="156">
        <v>1.9047192937000268</v>
      </c>
    </row>
    <row r="435" spans="3:11" ht="15" thickBot="1" x14ac:dyDescent="0.35">
      <c r="C435" s="157" t="s">
        <v>94</v>
      </c>
      <c r="D435" s="157">
        <v>30</v>
      </c>
    </row>
    <row r="437" spans="3:11" ht="15" thickBot="1" x14ac:dyDescent="0.35">
      <c r="C437" t="s">
        <v>95</v>
      </c>
    </row>
    <row r="438" spans="3:11" x14ac:dyDescent="0.3">
      <c r="C438" s="158"/>
      <c r="D438" s="158" t="s">
        <v>100</v>
      </c>
      <c r="E438" s="158" t="s">
        <v>101</v>
      </c>
      <c r="F438" s="158" t="s">
        <v>102</v>
      </c>
      <c r="G438" s="158" t="s">
        <v>103</v>
      </c>
      <c r="H438" s="158" t="s">
        <v>104</v>
      </c>
    </row>
    <row r="439" spans="3:11" x14ac:dyDescent="0.3">
      <c r="C439" s="156" t="s">
        <v>96</v>
      </c>
      <c r="D439" s="156">
        <v>1</v>
      </c>
      <c r="E439" s="156">
        <v>0.18190757751527542</v>
      </c>
      <c r="F439" s="156">
        <v>0.18190757751527542</v>
      </c>
      <c r="G439" s="156">
        <v>5.0140519395368094E-2</v>
      </c>
      <c r="H439" s="156">
        <v>0.82444477895643908</v>
      </c>
    </row>
    <row r="440" spans="3:11" x14ac:dyDescent="0.3">
      <c r="C440" s="156" t="s">
        <v>97</v>
      </c>
      <c r="D440" s="156">
        <v>28</v>
      </c>
      <c r="E440" s="156">
        <v>101.58275645820761</v>
      </c>
      <c r="F440" s="156">
        <v>3.6279555877931289</v>
      </c>
      <c r="G440" s="156"/>
      <c r="H440" s="156"/>
    </row>
    <row r="441" spans="3:11" ht="15" thickBot="1" x14ac:dyDescent="0.35">
      <c r="C441" s="157" t="s">
        <v>98</v>
      </c>
      <c r="D441" s="157">
        <v>29</v>
      </c>
      <c r="E441" s="157">
        <v>101.76466403572289</v>
      </c>
      <c r="F441" s="157"/>
      <c r="G441" s="157"/>
      <c r="H441" s="157"/>
    </row>
    <row r="442" spans="3:11" ht="15" thickBot="1" x14ac:dyDescent="0.35"/>
    <row r="443" spans="3:11" x14ac:dyDescent="0.3">
      <c r="C443" s="158"/>
      <c r="D443" s="158" t="s">
        <v>105</v>
      </c>
      <c r="E443" s="158" t="s">
        <v>76</v>
      </c>
      <c r="F443" s="158" t="s">
        <v>106</v>
      </c>
      <c r="G443" s="158" t="s">
        <v>107</v>
      </c>
      <c r="H443" s="158" t="s">
        <v>108</v>
      </c>
      <c r="I443" s="158" t="s">
        <v>109</v>
      </c>
      <c r="J443" s="158" t="s">
        <v>110</v>
      </c>
      <c r="K443" s="158" t="s">
        <v>111</v>
      </c>
    </row>
    <row r="444" spans="3:11" x14ac:dyDescent="0.3">
      <c r="C444" s="156" t="s">
        <v>99</v>
      </c>
      <c r="D444" s="156">
        <v>9.3490238207078491</v>
      </c>
      <c r="E444" s="156">
        <v>0.41603926349504183</v>
      </c>
      <c r="F444" s="156">
        <v>22.471494017581509</v>
      </c>
      <c r="G444" s="19">
        <v>1.8698192976939369E-19</v>
      </c>
      <c r="H444" s="156">
        <v>8.4968060220973722</v>
      </c>
      <c r="I444" s="156">
        <v>10.201241619318326</v>
      </c>
      <c r="J444" s="156">
        <v>8.4968060220973722</v>
      </c>
      <c r="K444" s="156">
        <v>10.201241619318326</v>
      </c>
    </row>
    <row r="445" spans="3:11" ht="29.4" thickBot="1" x14ac:dyDescent="0.35">
      <c r="C445" s="160" t="s">
        <v>6</v>
      </c>
      <c r="D445" s="157">
        <v>0.75060548129528004</v>
      </c>
      <c r="E445" s="157">
        <v>3.3521027112971145</v>
      </c>
      <c r="F445" s="157">
        <v>0.22392078821619077</v>
      </c>
      <c r="G445" s="20">
        <v>0.82440000000000002</v>
      </c>
      <c r="H445" s="157">
        <v>-6.1158656525569315</v>
      </c>
      <c r="I445" s="157">
        <v>7.617076615147492</v>
      </c>
      <c r="J445" s="157">
        <v>-6.1158656525569315</v>
      </c>
      <c r="K445" s="157">
        <v>7.617076615147492</v>
      </c>
    </row>
    <row r="446" spans="3:11" x14ac:dyDescent="0.3">
      <c r="C446" s="163"/>
      <c r="D446" s="156"/>
      <c r="E446" s="156"/>
      <c r="F446" s="156"/>
      <c r="G446" s="19"/>
      <c r="H446" s="156"/>
      <c r="I446" s="156"/>
      <c r="J446" s="156"/>
      <c r="K446" s="156"/>
    </row>
    <row r="447" spans="3:11" hidden="1" x14ac:dyDescent="0.3">
      <c r="C447" s="164" t="s">
        <v>0</v>
      </c>
      <c r="D447" s="165" t="s">
        <v>2</v>
      </c>
      <c r="E447" s="165" t="s">
        <v>230</v>
      </c>
      <c r="F447" s="165" t="s">
        <v>229</v>
      </c>
      <c r="G447" s="35" t="s">
        <v>228</v>
      </c>
      <c r="H447" s="165" t="s">
        <v>227</v>
      </c>
      <c r="I447" s="165" t="s">
        <v>226</v>
      </c>
      <c r="J447" s="165" t="s">
        <v>6</v>
      </c>
      <c r="K447" s="165" t="s">
        <v>13</v>
      </c>
    </row>
    <row r="448" spans="3:11" hidden="1" x14ac:dyDescent="0.3">
      <c r="C448" s="104" t="s">
        <v>181</v>
      </c>
      <c r="D448" s="104" t="s">
        <v>46</v>
      </c>
      <c r="E448" s="104" t="s">
        <v>45</v>
      </c>
      <c r="F448" s="104">
        <v>6500</v>
      </c>
      <c r="G448" s="104"/>
      <c r="H448" s="104">
        <v>3200</v>
      </c>
      <c r="I448" s="104">
        <v>0</v>
      </c>
      <c r="J448" s="104">
        <v>3.2199999999999999E-2</v>
      </c>
      <c r="K448" s="104">
        <v>8.7795574558837277</v>
      </c>
    </row>
    <row r="449" spans="2:11" hidden="1" x14ac:dyDescent="0.3">
      <c r="C449" s="104" t="s">
        <v>182</v>
      </c>
      <c r="D449" s="104" t="s">
        <v>46</v>
      </c>
      <c r="E449" s="104" t="s">
        <v>45</v>
      </c>
      <c r="F449" s="104">
        <v>8200</v>
      </c>
      <c r="G449" s="104">
        <v>1700</v>
      </c>
      <c r="H449" s="104">
        <v>3800</v>
      </c>
      <c r="I449" s="104">
        <v>0.44736842105263158</v>
      </c>
      <c r="J449" s="104">
        <v>3.6200000000000003E-2</v>
      </c>
      <c r="K449" s="104">
        <v>9.0118894332523443</v>
      </c>
    </row>
    <row r="450" spans="2:11" hidden="1" x14ac:dyDescent="0.3">
      <c r="C450" s="104" t="s">
        <v>183</v>
      </c>
      <c r="D450" s="104" t="s">
        <v>46</v>
      </c>
      <c r="E450" s="104" t="s">
        <v>45</v>
      </c>
      <c r="F450" s="104">
        <v>10500</v>
      </c>
      <c r="G450" s="104">
        <v>2300</v>
      </c>
      <c r="H450" s="104">
        <v>4500</v>
      </c>
      <c r="I450" s="104">
        <v>0.51111111111111107</v>
      </c>
      <c r="J450" s="104">
        <v>4.02E-2</v>
      </c>
      <c r="K450" s="104">
        <v>9.259130536145614</v>
      </c>
    </row>
    <row r="451" spans="2:11" hidden="1" x14ac:dyDescent="0.3">
      <c r="C451" s="104" t="s">
        <v>184</v>
      </c>
      <c r="D451" s="104" t="s">
        <v>46</v>
      </c>
      <c r="E451" s="104" t="s">
        <v>45</v>
      </c>
      <c r="F451" s="104">
        <v>18000</v>
      </c>
      <c r="G451" s="104">
        <v>7500</v>
      </c>
      <c r="H451" s="104">
        <v>5500</v>
      </c>
      <c r="I451" s="104">
        <v>1.3636363636363635</v>
      </c>
      <c r="J451" s="104">
        <v>4.48E-2</v>
      </c>
      <c r="K451" s="104">
        <v>9.7981270368783022</v>
      </c>
    </row>
    <row r="452" spans="2:11" hidden="1" x14ac:dyDescent="0.3">
      <c r="C452" s="104" t="s">
        <v>185</v>
      </c>
      <c r="D452" s="104" t="s">
        <v>46</v>
      </c>
      <c r="E452" s="104" t="s">
        <v>45</v>
      </c>
      <c r="F452" s="104">
        <v>12000</v>
      </c>
      <c r="G452" s="104">
        <v>-6000</v>
      </c>
      <c r="H452" s="104">
        <v>6800</v>
      </c>
      <c r="I452" s="104">
        <v>-0.88235294117647056</v>
      </c>
      <c r="J452" s="104">
        <v>4.8800000000000003E-2</v>
      </c>
      <c r="K452" s="104">
        <v>9.3926619287701367</v>
      </c>
    </row>
    <row r="453" spans="2:11" hidden="1" x14ac:dyDescent="0.3">
      <c r="C453" s="104" t="s">
        <v>186</v>
      </c>
      <c r="D453" s="104" t="s">
        <v>46</v>
      </c>
      <c r="E453" s="104" t="s">
        <v>45</v>
      </c>
      <c r="F453" s="104">
        <v>25000</v>
      </c>
      <c r="G453" s="104">
        <v>13000</v>
      </c>
      <c r="H453" s="104">
        <v>8000</v>
      </c>
      <c r="I453" s="104">
        <v>1.625</v>
      </c>
      <c r="J453" s="104">
        <v>4.82E-2</v>
      </c>
      <c r="K453" s="104">
        <v>10.126631103850338</v>
      </c>
    </row>
    <row r="454" spans="2:11" hidden="1" x14ac:dyDescent="0.3">
      <c r="C454" s="104" t="s">
        <v>14</v>
      </c>
      <c r="D454" s="104" t="s">
        <v>46</v>
      </c>
      <c r="E454" s="104" t="s">
        <v>45</v>
      </c>
      <c r="F454" s="104">
        <v>137194</v>
      </c>
      <c r="G454" s="104">
        <v>112194</v>
      </c>
      <c r="H454" s="104">
        <v>9469</v>
      </c>
      <c r="I454" s="104">
        <v>11.848558453902207</v>
      </c>
      <c r="J454" s="104">
        <v>5.0200000000000002E-2</v>
      </c>
      <c r="K454" s="104">
        <v>11.829151261539234</v>
      </c>
    </row>
    <row r="455" spans="2:11" hidden="1" x14ac:dyDescent="0.3">
      <c r="C455" s="104" t="s">
        <v>64</v>
      </c>
      <c r="D455" s="104" t="s">
        <v>46</v>
      </c>
      <c r="E455" s="104" t="s">
        <v>45</v>
      </c>
      <c r="F455" s="104">
        <v>206465</v>
      </c>
      <c r="G455" s="104">
        <v>69271</v>
      </c>
      <c r="H455" s="104">
        <v>10408</v>
      </c>
      <c r="I455" s="104">
        <v>6.6555534204458109</v>
      </c>
      <c r="J455" s="104">
        <v>5.6500000000000002E-2</v>
      </c>
      <c r="K455" s="104">
        <v>12.237886185492489</v>
      </c>
    </row>
    <row r="456" spans="2:11" hidden="1" x14ac:dyDescent="0.3">
      <c r="C456" s="104" t="s">
        <v>65</v>
      </c>
      <c r="D456" s="104" t="s">
        <v>46</v>
      </c>
      <c r="E456" s="104" t="s">
        <v>45</v>
      </c>
      <c r="F456" s="104">
        <v>335198</v>
      </c>
      <c r="G456" s="104">
        <v>128733</v>
      </c>
      <c r="H456" s="104">
        <v>13003</v>
      </c>
      <c r="I456" s="104">
        <v>9.900253787587479</v>
      </c>
      <c r="J456" s="104">
        <v>6.3399999999999998E-2</v>
      </c>
      <c r="K456" s="104">
        <v>12.722476680985153</v>
      </c>
    </row>
    <row r="457" spans="2:11" hidden="1" x14ac:dyDescent="0.3">
      <c r="C457" s="104" t="s">
        <v>66</v>
      </c>
      <c r="D457" s="104" t="s">
        <v>46</v>
      </c>
      <c r="E457" s="104" t="s">
        <v>45</v>
      </c>
      <c r="F457" s="104">
        <v>295000</v>
      </c>
      <c r="G457" s="104">
        <v>-40198</v>
      </c>
      <c r="H457" s="104">
        <v>14500</v>
      </c>
      <c r="I457" s="104">
        <v>-2.7722758620689656</v>
      </c>
      <c r="J457" s="104">
        <v>6.6100000000000006E-2</v>
      </c>
      <c r="K457" s="104">
        <v>12.594730635321957</v>
      </c>
    </row>
    <row r="459" spans="2:11" x14ac:dyDescent="0.3">
      <c r="B459" s="13" t="s">
        <v>45</v>
      </c>
      <c r="C459" t="s">
        <v>89</v>
      </c>
    </row>
    <row r="460" spans="2:11" ht="15" thickBot="1" x14ac:dyDescent="0.35"/>
    <row r="461" spans="2:11" x14ac:dyDescent="0.3">
      <c r="C461" s="159" t="s">
        <v>90</v>
      </c>
      <c r="D461" s="159"/>
    </row>
    <row r="462" spans="2:11" x14ac:dyDescent="0.3">
      <c r="C462" s="156" t="s">
        <v>91</v>
      </c>
      <c r="D462" s="156">
        <v>0.92010653665827713</v>
      </c>
    </row>
    <row r="463" spans="2:11" x14ac:dyDescent="0.3">
      <c r="C463" s="156" t="s">
        <v>92</v>
      </c>
      <c r="D463" s="156">
        <v>0.84659603880128953</v>
      </c>
    </row>
    <row r="464" spans="2:11" x14ac:dyDescent="0.3">
      <c r="C464" s="156" t="s">
        <v>93</v>
      </c>
      <c r="D464" s="156">
        <v>0.82742054365145068</v>
      </c>
    </row>
    <row r="465" spans="3:11" x14ac:dyDescent="0.3">
      <c r="C465" s="156" t="s">
        <v>76</v>
      </c>
      <c r="D465" s="156">
        <v>0.65874209388003524</v>
      </c>
    </row>
    <row r="466" spans="3:11" ht="15" thickBot="1" x14ac:dyDescent="0.35">
      <c r="C466" s="157" t="s">
        <v>94</v>
      </c>
      <c r="D466" s="157">
        <v>10</v>
      </c>
    </row>
    <row r="468" spans="3:11" ht="15" thickBot="1" x14ac:dyDescent="0.35">
      <c r="C468" t="s">
        <v>95</v>
      </c>
    </row>
    <row r="469" spans="3:11" x14ac:dyDescent="0.3">
      <c r="C469" s="158"/>
      <c r="D469" s="158" t="s">
        <v>100</v>
      </c>
      <c r="E469" s="158" t="s">
        <v>101</v>
      </c>
      <c r="F469" s="158" t="s">
        <v>102</v>
      </c>
      <c r="G469" s="158" t="s">
        <v>103</v>
      </c>
      <c r="H469" s="158" t="s">
        <v>104</v>
      </c>
    </row>
    <row r="470" spans="3:11" x14ac:dyDescent="0.3">
      <c r="C470" s="156" t="s">
        <v>96</v>
      </c>
      <c r="D470" s="156">
        <v>1</v>
      </c>
      <c r="E470" s="156">
        <v>19.158454716136305</v>
      </c>
      <c r="F470" s="156">
        <v>19.158454716136305</v>
      </c>
      <c r="G470" s="156">
        <v>44.14989194208141</v>
      </c>
      <c r="H470" s="156">
        <v>1.6172076073860049E-4</v>
      </c>
    </row>
    <row r="471" spans="3:11" x14ac:dyDescent="0.3">
      <c r="C471" s="156" t="s">
        <v>97</v>
      </c>
      <c r="D471" s="156">
        <v>8</v>
      </c>
      <c r="E471" s="156">
        <v>3.4715291699956254</v>
      </c>
      <c r="F471" s="156">
        <v>0.43394114624945318</v>
      </c>
      <c r="G471" s="156"/>
      <c r="H471" s="156"/>
    </row>
    <row r="472" spans="3:11" ht="15" thickBot="1" x14ac:dyDescent="0.35">
      <c r="C472" s="157" t="s">
        <v>98</v>
      </c>
      <c r="D472" s="157">
        <v>9</v>
      </c>
      <c r="E472" s="157">
        <v>22.629983886131932</v>
      </c>
      <c r="F472" s="157"/>
      <c r="G472" s="157"/>
      <c r="H472" s="157"/>
    </row>
    <row r="473" spans="3:11" ht="15" thickBot="1" x14ac:dyDescent="0.35"/>
    <row r="474" spans="3:11" x14ac:dyDescent="0.3">
      <c r="C474" s="158"/>
      <c r="D474" s="158" t="s">
        <v>105</v>
      </c>
      <c r="E474" s="158" t="s">
        <v>76</v>
      </c>
      <c r="F474" s="158" t="s">
        <v>106</v>
      </c>
      <c r="G474" s="158" t="s">
        <v>107</v>
      </c>
      <c r="H474" s="158" t="s">
        <v>108</v>
      </c>
      <c r="I474" s="158" t="s">
        <v>109</v>
      </c>
      <c r="J474" s="158" t="s">
        <v>110</v>
      </c>
      <c r="K474" s="158" t="s">
        <v>111</v>
      </c>
    </row>
    <row r="475" spans="3:11" x14ac:dyDescent="0.3">
      <c r="C475" s="156" t="s">
        <v>99</v>
      </c>
      <c r="D475" s="156">
        <v>4.1480111715603964</v>
      </c>
      <c r="E475" s="156">
        <v>0.98946911318271946</v>
      </c>
      <c r="F475" s="156">
        <v>4.1921583163095741</v>
      </c>
      <c r="G475" s="19">
        <v>3.0288060481499625E-3</v>
      </c>
      <c r="H475" s="156">
        <v>1.8662913049042453</v>
      </c>
      <c r="I475" s="156">
        <v>6.4297310382165476</v>
      </c>
      <c r="J475" s="156">
        <v>1.8662913049042453</v>
      </c>
      <c r="K475" s="156">
        <v>6.4297310382165476</v>
      </c>
    </row>
    <row r="476" spans="3:11" ht="29.4" thickBot="1" x14ac:dyDescent="0.35">
      <c r="C476" s="160" t="s">
        <v>6</v>
      </c>
      <c r="D476" s="157">
        <v>132.08411537713792</v>
      </c>
      <c r="E476" s="157">
        <v>19.878598834404308</v>
      </c>
      <c r="F476" s="157">
        <v>6.6445385048234469</v>
      </c>
      <c r="G476" s="20">
        <v>1.6172076073860049E-4</v>
      </c>
      <c r="H476" s="157">
        <v>86.243984262936848</v>
      </c>
      <c r="I476" s="157">
        <v>177.92424649133898</v>
      </c>
      <c r="J476" s="157">
        <v>86.243984262936848</v>
      </c>
      <c r="K476" s="157">
        <v>177.92424649133898</v>
      </c>
    </row>
    <row r="479" spans="3:11" hidden="1" x14ac:dyDescent="0.3">
      <c r="C479" s="13" t="s">
        <v>69</v>
      </c>
    </row>
    <row r="480" spans="3:11" hidden="1" x14ac:dyDescent="0.3">
      <c r="C480" s="104" t="s">
        <v>0</v>
      </c>
      <c r="D480" s="104" t="s">
        <v>2</v>
      </c>
      <c r="E480" s="104" t="s">
        <v>230</v>
      </c>
      <c r="F480" s="104" t="s">
        <v>229</v>
      </c>
      <c r="G480" s="104" t="s">
        <v>228</v>
      </c>
      <c r="H480" s="104" t="s">
        <v>227</v>
      </c>
      <c r="I480" s="104" t="s">
        <v>226</v>
      </c>
      <c r="J480" s="104" t="s">
        <v>6</v>
      </c>
      <c r="K480" s="104" t="s">
        <v>13</v>
      </c>
    </row>
    <row r="481" spans="3:11" hidden="1" x14ac:dyDescent="0.3">
      <c r="C481" s="104" t="s">
        <v>181</v>
      </c>
      <c r="D481" s="104" t="s">
        <v>18</v>
      </c>
      <c r="E481" s="104" t="s">
        <v>69</v>
      </c>
      <c r="F481" s="104">
        <v>95000</v>
      </c>
      <c r="G481" s="104"/>
      <c r="H481" s="104">
        <v>16800</v>
      </c>
      <c r="I481" s="104">
        <v>0</v>
      </c>
      <c r="J481" s="104">
        <v>7.1999999999999995E-2</v>
      </c>
      <c r="K481" s="104">
        <v>11.461632170582678</v>
      </c>
    </row>
    <row r="482" spans="3:11" hidden="1" x14ac:dyDescent="0.3">
      <c r="C482" s="104" t="s">
        <v>182</v>
      </c>
      <c r="D482" s="104" t="s">
        <v>18</v>
      </c>
      <c r="E482" s="104" t="s">
        <v>69</v>
      </c>
      <c r="F482" s="104">
        <v>98000</v>
      </c>
      <c r="G482" s="104">
        <v>3000</v>
      </c>
      <c r="H482" s="104">
        <v>17500</v>
      </c>
      <c r="I482" s="104">
        <v>0.17142857142857143</v>
      </c>
      <c r="J482" s="104">
        <v>7.3999999999999996E-2</v>
      </c>
      <c r="K482" s="104">
        <v>11.492722757652709</v>
      </c>
    </row>
    <row r="483" spans="3:11" hidden="1" x14ac:dyDescent="0.3">
      <c r="C483" s="104" t="s">
        <v>183</v>
      </c>
      <c r="D483" s="104" t="s">
        <v>18</v>
      </c>
      <c r="E483" s="104" t="s">
        <v>69</v>
      </c>
      <c r="F483" s="104">
        <v>107000</v>
      </c>
      <c r="G483" s="104">
        <v>9000</v>
      </c>
      <c r="H483" s="104">
        <v>18600</v>
      </c>
      <c r="I483" s="104">
        <v>0.4838709677419355</v>
      </c>
      <c r="J483" s="104">
        <v>7.8E-2</v>
      </c>
      <c r="K483" s="104">
        <v>11.580584113444043</v>
      </c>
    </row>
    <row r="484" spans="3:11" hidden="1" x14ac:dyDescent="0.3">
      <c r="C484" s="104" t="s">
        <v>184</v>
      </c>
      <c r="D484" s="104" t="s">
        <v>18</v>
      </c>
      <c r="E484" s="104" t="s">
        <v>69</v>
      </c>
      <c r="F484" s="104">
        <v>116000</v>
      </c>
      <c r="G484" s="104">
        <v>9000</v>
      </c>
      <c r="H484" s="104">
        <v>19200</v>
      </c>
      <c r="I484" s="104">
        <v>0.46875</v>
      </c>
      <c r="J484" s="104">
        <v>8.1000000000000003E-2</v>
      </c>
      <c r="K484" s="104">
        <v>11.661345470088502</v>
      </c>
    </row>
    <row r="485" spans="3:11" hidden="1" x14ac:dyDescent="0.3">
      <c r="C485" s="104" t="s">
        <v>185</v>
      </c>
      <c r="D485" s="104" t="s">
        <v>18</v>
      </c>
      <c r="E485" s="104" t="s">
        <v>69</v>
      </c>
      <c r="F485" s="104">
        <v>100000</v>
      </c>
      <c r="G485" s="104">
        <v>-16000</v>
      </c>
      <c r="H485" s="104">
        <v>20000</v>
      </c>
      <c r="I485" s="104">
        <v>-0.8</v>
      </c>
      <c r="J485" s="104">
        <v>8.4000000000000005E-2</v>
      </c>
      <c r="K485" s="104">
        <v>11.512925464970229</v>
      </c>
    </row>
    <row r="486" spans="3:11" hidden="1" x14ac:dyDescent="0.3">
      <c r="C486" s="104" t="s">
        <v>186</v>
      </c>
      <c r="D486" s="104" t="s">
        <v>18</v>
      </c>
      <c r="E486" s="104" t="s">
        <v>69</v>
      </c>
      <c r="F486" s="104">
        <v>110000</v>
      </c>
      <c r="G486" s="104">
        <v>10000</v>
      </c>
      <c r="H486" s="104">
        <v>20339</v>
      </c>
      <c r="I486" s="104">
        <v>0.49166625694478588</v>
      </c>
      <c r="J486" s="104">
        <v>8.5999999999999993E-2</v>
      </c>
      <c r="K486" s="104">
        <v>11.608235644774552</v>
      </c>
    </row>
    <row r="487" spans="3:11" hidden="1" x14ac:dyDescent="0.3">
      <c r="C487" s="104" t="s">
        <v>14</v>
      </c>
      <c r="D487" s="104" t="s">
        <v>18</v>
      </c>
      <c r="E487" s="104" t="s">
        <v>69</v>
      </c>
      <c r="F487" s="104">
        <v>130857</v>
      </c>
      <c r="G487" s="104">
        <v>20857</v>
      </c>
      <c r="H487" s="104">
        <v>21035</v>
      </c>
      <c r="I487" s="104">
        <v>0.99153791300213934</v>
      </c>
      <c r="J487" s="104">
        <v>5.6676725763862693E-2</v>
      </c>
      <c r="K487" s="104">
        <v>11.781860402897301</v>
      </c>
    </row>
    <row r="488" spans="3:11" hidden="1" x14ac:dyDescent="0.3">
      <c r="C488" s="104" t="s">
        <v>64</v>
      </c>
      <c r="D488" s="104" t="s">
        <v>18</v>
      </c>
      <c r="E488" s="104" t="s">
        <v>69</v>
      </c>
      <c r="F488" s="104">
        <v>169934</v>
      </c>
      <c r="G488" s="104">
        <v>39077</v>
      </c>
      <c r="H488" s="104">
        <v>22823</v>
      </c>
      <c r="I488" s="104">
        <v>1.7121763133680936</v>
      </c>
      <c r="J488" s="104">
        <v>5.9685606466747039E-2</v>
      </c>
      <c r="K488" s="104">
        <v>12.043165405355447</v>
      </c>
    </row>
    <row r="489" spans="3:11" hidden="1" x14ac:dyDescent="0.3">
      <c r="C489" s="104" t="s">
        <v>65</v>
      </c>
      <c r="D489" s="104" t="s">
        <v>18</v>
      </c>
      <c r="E489" s="104" t="s">
        <v>69</v>
      </c>
      <c r="F489" s="104">
        <v>325759</v>
      </c>
      <c r="G489" s="104">
        <v>155825</v>
      </c>
      <c r="H489" s="104">
        <v>35385</v>
      </c>
      <c r="I489" s="104">
        <v>4.4037021336724598</v>
      </c>
      <c r="J489" s="104">
        <v>8.9970861492928961E-2</v>
      </c>
      <c r="K489" s="104">
        <v>12.693913123154932</v>
      </c>
    </row>
    <row r="490" spans="3:11" hidden="1" x14ac:dyDescent="0.3">
      <c r="C490" s="104" t="s">
        <v>66</v>
      </c>
      <c r="D490" s="104" t="s">
        <v>18</v>
      </c>
      <c r="E490" s="104" t="s">
        <v>69</v>
      </c>
      <c r="F490" s="104">
        <v>346801</v>
      </c>
      <c r="G490" s="104">
        <v>21042</v>
      </c>
      <c r="H490" s="104">
        <v>48594</v>
      </c>
      <c r="I490" s="104">
        <v>0.43301642178046673</v>
      </c>
      <c r="J490" s="104">
        <v>0.11912717538126628</v>
      </c>
      <c r="K490" s="104">
        <v>12.75650640739071</v>
      </c>
    </row>
    <row r="491" spans="3:11" hidden="1" x14ac:dyDescent="0.3">
      <c r="C491" s="104" t="s">
        <v>181</v>
      </c>
      <c r="D491" s="104" t="s">
        <v>19</v>
      </c>
      <c r="E491" s="104" t="s">
        <v>69</v>
      </c>
      <c r="F491" s="104">
        <v>10200</v>
      </c>
      <c r="G491" s="104"/>
      <c r="H491" s="104">
        <v>4200</v>
      </c>
      <c r="I491" s="104">
        <v>0</v>
      </c>
      <c r="J491" s="104">
        <v>4.8000000000000001E-2</v>
      </c>
      <c r="K491" s="104">
        <v>9.2301429992723616</v>
      </c>
    </row>
    <row r="492" spans="3:11" hidden="1" x14ac:dyDescent="0.3">
      <c r="C492" s="104" t="s">
        <v>182</v>
      </c>
      <c r="D492" s="104" t="s">
        <v>19</v>
      </c>
      <c r="E492" s="104" t="s">
        <v>69</v>
      </c>
      <c r="F492" s="104">
        <v>10800</v>
      </c>
      <c r="G492" s="104">
        <v>600</v>
      </c>
      <c r="H492" s="104">
        <v>4500</v>
      </c>
      <c r="I492" s="104">
        <v>0.13333333333333333</v>
      </c>
      <c r="J492" s="104">
        <v>0.05</v>
      </c>
      <c r="K492" s="104">
        <v>9.2873014131123117</v>
      </c>
    </row>
    <row r="493" spans="3:11" hidden="1" x14ac:dyDescent="0.3">
      <c r="C493" s="104" t="s">
        <v>183</v>
      </c>
      <c r="D493" s="104" t="s">
        <v>19</v>
      </c>
      <c r="E493" s="104" t="s">
        <v>69</v>
      </c>
      <c r="F493" s="104">
        <v>11500</v>
      </c>
      <c r="G493" s="104">
        <v>700</v>
      </c>
      <c r="H493" s="104">
        <v>4800</v>
      </c>
      <c r="I493" s="104">
        <v>0.14583333333333334</v>
      </c>
      <c r="J493" s="104">
        <v>5.2999999999999999E-2</v>
      </c>
      <c r="K493" s="104">
        <v>9.3501023143513411</v>
      </c>
    </row>
    <row r="494" spans="3:11" hidden="1" x14ac:dyDescent="0.3">
      <c r="C494" s="104" t="s">
        <v>184</v>
      </c>
      <c r="D494" s="104" t="s">
        <v>19</v>
      </c>
      <c r="E494" s="104" t="s">
        <v>69</v>
      </c>
      <c r="F494" s="104">
        <v>12200</v>
      </c>
      <c r="G494" s="104">
        <v>700</v>
      </c>
      <c r="H494" s="104">
        <v>5100</v>
      </c>
      <c r="I494" s="104">
        <v>0.13725490196078433</v>
      </c>
      <c r="J494" s="104">
        <v>5.6000000000000001E-2</v>
      </c>
      <c r="K494" s="104">
        <v>9.4091912307213477</v>
      </c>
    </row>
    <row r="495" spans="3:11" hidden="1" x14ac:dyDescent="0.3">
      <c r="C495" s="104" t="s">
        <v>185</v>
      </c>
      <c r="D495" s="104" t="s">
        <v>19</v>
      </c>
      <c r="E495" s="104" t="s">
        <v>69</v>
      </c>
      <c r="F495" s="104">
        <v>8900</v>
      </c>
      <c r="G495" s="104">
        <v>-3300</v>
      </c>
      <c r="H495" s="104">
        <v>5400</v>
      </c>
      <c r="I495" s="104">
        <v>-0.61111111111111116</v>
      </c>
      <c r="J495" s="104">
        <v>5.7000000000000002E-2</v>
      </c>
      <c r="K495" s="104">
        <v>9.0938065557202314</v>
      </c>
    </row>
    <row r="496" spans="3:11" hidden="1" x14ac:dyDescent="0.3">
      <c r="C496" s="104" t="s">
        <v>186</v>
      </c>
      <c r="D496" s="104" t="s">
        <v>19</v>
      </c>
      <c r="E496" s="104" t="s">
        <v>69</v>
      </c>
      <c r="F496" s="104">
        <v>18000</v>
      </c>
      <c r="G496" s="104">
        <v>9100</v>
      </c>
      <c r="H496" s="104">
        <v>5800</v>
      </c>
      <c r="I496" s="104">
        <v>1.5689655172413792</v>
      </c>
      <c r="J496" s="104">
        <v>5.8000000000000003E-2</v>
      </c>
      <c r="K496" s="104">
        <v>9.7981270368783022</v>
      </c>
    </row>
    <row r="497" spans="3:11" hidden="1" x14ac:dyDescent="0.3">
      <c r="C497" s="104" t="s">
        <v>14</v>
      </c>
      <c r="D497" s="104" t="s">
        <v>19</v>
      </c>
      <c r="E497" s="104" t="s">
        <v>69</v>
      </c>
      <c r="F497" s="104">
        <v>76321</v>
      </c>
      <c r="G497" s="104">
        <v>58321</v>
      </c>
      <c r="H497" s="104">
        <v>7268</v>
      </c>
      <c r="I497" s="104">
        <v>8.0243533296642813</v>
      </c>
      <c r="J497" s="104">
        <v>6.0100000000000001E-2</v>
      </c>
      <c r="K497" s="104">
        <v>11.242703408761695</v>
      </c>
    </row>
    <row r="498" spans="3:11" hidden="1" x14ac:dyDescent="0.3">
      <c r="C498" s="104" t="s">
        <v>64</v>
      </c>
      <c r="D498" s="104" t="s">
        <v>19</v>
      </c>
      <c r="E498" s="104" t="s">
        <v>69</v>
      </c>
      <c r="F498" s="104">
        <v>60775</v>
      </c>
      <c r="G498" s="104">
        <v>-15546</v>
      </c>
      <c r="H498" s="104">
        <v>7656</v>
      </c>
      <c r="I498" s="104">
        <v>-2.030564263322884</v>
      </c>
      <c r="J498" s="104">
        <v>7.0000000000000007E-2</v>
      </c>
      <c r="K498" s="104">
        <v>11.014933799184323</v>
      </c>
    </row>
    <row r="499" spans="3:11" hidden="1" x14ac:dyDescent="0.3">
      <c r="C499" s="104" t="s">
        <v>65</v>
      </c>
      <c r="D499" s="104" t="s">
        <v>19</v>
      </c>
      <c r="E499" s="104" t="s">
        <v>69</v>
      </c>
      <c r="F499" s="104">
        <v>125000</v>
      </c>
      <c r="G499" s="104">
        <v>64225</v>
      </c>
      <c r="H499" s="104">
        <v>13333</v>
      </c>
      <c r="I499" s="104">
        <v>4.8169954248856222</v>
      </c>
      <c r="J499" s="104">
        <v>8.0600000000000005E-2</v>
      </c>
      <c r="K499" s="104">
        <v>11.736069016284437</v>
      </c>
    </row>
    <row r="500" spans="3:11" hidden="1" x14ac:dyDescent="0.3">
      <c r="C500" s="104" t="s">
        <v>66</v>
      </c>
      <c r="D500" s="104" t="s">
        <v>19</v>
      </c>
      <c r="E500" s="104" t="s">
        <v>69</v>
      </c>
      <c r="F500" s="104">
        <v>120000</v>
      </c>
      <c r="G500" s="104">
        <v>-5000</v>
      </c>
      <c r="H500" s="104">
        <v>18322</v>
      </c>
      <c r="I500" s="104">
        <v>-0.27289597205545246</v>
      </c>
      <c r="J500" s="104">
        <v>8.9599999999999999E-2</v>
      </c>
      <c r="K500" s="104">
        <v>11.695247021764184</v>
      </c>
    </row>
    <row r="501" spans="3:11" hidden="1" x14ac:dyDescent="0.3">
      <c r="C501" s="104" t="s">
        <v>181</v>
      </c>
      <c r="D501" s="104" t="s">
        <v>23</v>
      </c>
      <c r="E501" s="104" t="s">
        <v>69</v>
      </c>
      <c r="F501" s="104">
        <v>70000</v>
      </c>
      <c r="G501" s="104"/>
      <c r="H501" s="104">
        <v>12000</v>
      </c>
      <c r="I501" s="104">
        <v>0</v>
      </c>
      <c r="J501" s="104">
        <v>7.6999999999999999E-2</v>
      </c>
      <c r="K501" s="104">
        <v>11.156250521031495</v>
      </c>
    </row>
    <row r="502" spans="3:11" hidden="1" x14ac:dyDescent="0.3">
      <c r="C502" s="104" t="s">
        <v>182</v>
      </c>
      <c r="D502" s="104" t="s">
        <v>23</v>
      </c>
      <c r="E502" s="104" t="s">
        <v>69</v>
      </c>
      <c r="F502" s="104">
        <v>76000</v>
      </c>
      <c r="G502" s="104">
        <v>6000</v>
      </c>
      <c r="H502" s="104">
        <v>13000</v>
      </c>
      <c r="I502" s="104">
        <v>0.46153846153846156</v>
      </c>
      <c r="J502" s="104">
        <v>7.9000000000000001E-2</v>
      </c>
      <c r="K502" s="104">
        <v>11.238488619268468</v>
      </c>
    </row>
    <row r="503" spans="3:11" hidden="1" x14ac:dyDescent="0.3">
      <c r="C503" s="104" t="s">
        <v>183</v>
      </c>
      <c r="D503" s="104" t="s">
        <v>23</v>
      </c>
      <c r="E503" s="104" t="s">
        <v>69</v>
      </c>
      <c r="F503" s="104">
        <v>82000</v>
      </c>
      <c r="G503" s="104">
        <v>6000</v>
      </c>
      <c r="H503" s="104">
        <v>14000</v>
      </c>
      <c r="I503" s="104">
        <v>0.42857142857142855</v>
      </c>
      <c r="J503" s="104">
        <v>8.1000000000000003E-2</v>
      </c>
      <c r="K503" s="104">
        <v>11.314474526246391</v>
      </c>
    </row>
    <row r="504" spans="3:11" hidden="1" x14ac:dyDescent="0.3">
      <c r="C504" s="104" t="s">
        <v>184</v>
      </c>
      <c r="D504" s="104" t="s">
        <v>23</v>
      </c>
      <c r="E504" s="104" t="s">
        <v>69</v>
      </c>
      <c r="F504" s="104">
        <v>88000</v>
      </c>
      <c r="G504" s="104">
        <v>6000</v>
      </c>
      <c r="H504" s="104">
        <v>15500</v>
      </c>
      <c r="I504" s="104">
        <v>0.38709677419354838</v>
      </c>
      <c r="J504" s="104">
        <v>8.3000000000000004E-2</v>
      </c>
      <c r="K504" s="104">
        <v>11.385092093460344</v>
      </c>
    </row>
    <row r="505" spans="3:11" hidden="1" x14ac:dyDescent="0.3">
      <c r="C505" s="104" t="s">
        <v>185</v>
      </c>
      <c r="D505" s="104" t="s">
        <v>23</v>
      </c>
      <c r="E505" s="104" t="s">
        <v>69</v>
      </c>
      <c r="F505" s="104">
        <v>78000</v>
      </c>
      <c r="G505" s="104">
        <v>-10000</v>
      </c>
      <c r="H505" s="104">
        <v>14200</v>
      </c>
      <c r="I505" s="104">
        <v>-0.70422535211267601</v>
      </c>
      <c r="J505" s="104">
        <v>8.2000000000000003E-2</v>
      </c>
      <c r="K505" s="104">
        <v>11.264464105671729</v>
      </c>
    </row>
    <row r="506" spans="3:11" hidden="1" x14ac:dyDescent="0.3">
      <c r="C506" s="104" t="s">
        <v>186</v>
      </c>
      <c r="D506" s="104" t="s">
        <v>23</v>
      </c>
      <c r="E506" s="104" t="s">
        <v>69</v>
      </c>
      <c r="F506" s="104">
        <v>85000</v>
      </c>
      <c r="G506" s="104">
        <v>7000</v>
      </c>
      <c r="H506" s="104">
        <v>9212</v>
      </c>
      <c r="I506" s="104">
        <v>0.75987841945288759</v>
      </c>
      <c r="J506" s="104">
        <v>8.4000000000000005E-2</v>
      </c>
      <c r="K506" s="104">
        <v>11.350406535472453</v>
      </c>
    </row>
    <row r="507" spans="3:11" hidden="1" x14ac:dyDescent="0.3">
      <c r="C507" s="104" t="s">
        <v>14</v>
      </c>
      <c r="D507" s="104" t="s">
        <v>23</v>
      </c>
      <c r="E507" s="104" t="s">
        <v>69</v>
      </c>
      <c r="F507" s="104">
        <v>118243</v>
      </c>
      <c r="G507" s="104">
        <v>33243</v>
      </c>
      <c r="H507" s="104">
        <v>9426</v>
      </c>
      <c r="I507" s="104">
        <v>3.5267345639719925</v>
      </c>
      <c r="J507" s="104">
        <v>3.7561267184698148E-2</v>
      </c>
      <c r="K507" s="104">
        <v>11.680497107984655</v>
      </c>
    </row>
    <row r="508" spans="3:11" hidden="1" x14ac:dyDescent="0.3">
      <c r="C508" s="104" t="s">
        <v>64</v>
      </c>
      <c r="D508" s="104" t="s">
        <v>23</v>
      </c>
      <c r="E508" s="104" t="s">
        <v>69</v>
      </c>
      <c r="F508" s="104">
        <v>157430</v>
      </c>
      <c r="G508" s="104">
        <v>39187</v>
      </c>
      <c r="H508" s="104">
        <v>9212</v>
      </c>
      <c r="I508" s="104">
        <v>4.2539079461571863</v>
      </c>
      <c r="J508" s="104">
        <v>3.6522945782535433E-2</v>
      </c>
      <c r="K508" s="104">
        <v>11.966736194008675</v>
      </c>
    </row>
    <row r="509" spans="3:11" hidden="1" x14ac:dyDescent="0.3">
      <c r="C509" s="104" t="s">
        <v>65</v>
      </c>
      <c r="D509" s="104" t="s">
        <v>23</v>
      </c>
      <c r="E509" s="104" t="s">
        <v>69</v>
      </c>
      <c r="F509" s="104">
        <v>257672</v>
      </c>
      <c r="G509" s="104">
        <v>100242</v>
      </c>
      <c r="H509" s="104">
        <v>12500</v>
      </c>
      <c r="I509" s="104">
        <v>8.0193600000000007</v>
      </c>
      <c r="J509" s="104">
        <v>4.9834747975712537E-2</v>
      </c>
      <c r="K509" s="104">
        <v>12.45944273726421</v>
      </c>
    </row>
    <row r="510" spans="3:11" hidden="1" x14ac:dyDescent="0.3">
      <c r="C510" s="104" t="s">
        <v>66</v>
      </c>
      <c r="D510" s="104" t="s">
        <v>23</v>
      </c>
      <c r="E510" s="104" t="s">
        <v>69</v>
      </c>
      <c r="F510" s="104">
        <v>270136</v>
      </c>
      <c r="G510" s="104">
        <v>12464</v>
      </c>
      <c r="H510" s="104">
        <v>26255</v>
      </c>
      <c r="I510" s="104">
        <v>0.47472862311940583</v>
      </c>
      <c r="J510" s="104">
        <v>9.8662578116486099E-2</v>
      </c>
      <c r="K510" s="104">
        <v>12.506680814868089</v>
      </c>
    </row>
    <row r="511" spans="3:11" hidden="1" x14ac:dyDescent="0.3">
      <c r="C511" s="104" t="s">
        <v>181</v>
      </c>
      <c r="D511" s="104" t="s">
        <v>34</v>
      </c>
      <c r="E511" s="104" t="s">
        <v>69</v>
      </c>
      <c r="F511" s="104">
        <v>9200</v>
      </c>
      <c r="G511" s="104"/>
      <c r="H511" s="104">
        <v>1200</v>
      </c>
      <c r="I511" s="104">
        <v>0</v>
      </c>
      <c r="J511" s="104">
        <v>5.8200000000000002E-2</v>
      </c>
      <c r="K511" s="104">
        <v>9.1269587630371323</v>
      </c>
    </row>
    <row r="512" spans="3:11" hidden="1" x14ac:dyDescent="0.3">
      <c r="C512" s="104" t="s">
        <v>182</v>
      </c>
      <c r="D512" s="104" t="s">
        <v>34</v>
      </c>
      <c r="E512" s="104" t="s">
        <v>69</v>
      </c>
      <c r="F512" s="104">
        <v>10500</v>
      </c>
      <c r="G512" s="104">
        <v>1300</v>
      </c>
      <c r="H512" s="104">
        <v>1350</v>
      </c>
      <c r="I512" s="104">
        <v>0.96296296296296291</v>
      </c>
      <c r="J512" s="104">
        <v>6.1800000000000001E-2</v>
      </c>
      <c r="K512" s="104">
        <v>9.259130536145614</v>
      </c>
    </row>
    <row r="513" spans="3:11" hidden="1" x14ac:dyDescent="0.3">
      <c r="C513" s="104" t="s">
        <v>183</v>
      </c>
      <c r="D513" s="104" t="s">
        <v>34</v>
      </c>
      <c r="E513" s="104" t="s">
        <v>69</v>
      </c>
      <c r="F513" s="104">
        <v>11800</v>
      </c>
      <c r="G513" s="104">
        <v>1300</v>
      </c>
      <c r="H513" s="104">
        <v>1500</v>
      </c>
      <c r="I513" s="104">
        <v>0.8666666666666667</v>
      </c>
      <c r="J513" s="104">
        <v>6.5199999999999994E-2</v>
      </c>
      <c r="K513" s="104">
        <v>9.375854810453756</v>
      </c>
    </row>
    <row r="514" spans="3:11" hidden="1" x14ac:dyDescent="0.3">
      <c r="C514" s="104" t="s">
        <v>184</v>
      </c>
      <c r="D514" s="104" t="s">
        <v>34</v>
      </c>
      <c r="E514" s="104" t="s">
        <v>69</v>
      </c>
      <c r="F514" s="104">
        <v>13200</v>
      </c>
      <c r="G514" s="104">
        <v>1400</v>
      </c>
      <c r="H514" s="104">
        <v>1680</v>
      </c>
      <c r="I514" s="104">
        <v>0.83333333333333337</v>
      </c>
      <c r="J514" s="104">
        <v>6.88E-2</v>
      </c>
      <c r="K514" s="104">
        <v>9.4879721085744624</v>
      </c>
    </row>
    <row r="515" spans="3:11" hidden="1" x14ac:dyDescent="0.3">
      <c r="C515" s="104" t="s">
        <v>185</v>
      </c>
      <c r="D515" s="104" t="s">
        <v>34</v>
      </c>
      <c r="E515" s="104" t="s">
        <v>69</v>
      </c>
      <c r="F515" s="104">
        <v>10500</v>
      </c>
      <c r="G515" s="104">
        <v>-2700</v>
      </c>
      <c r="H515" s="104">
        <v>1800</v>
      </c>
      <c r="I515" s="104">
        <v>-1.5</v>
      </c>
      <c r="J515" s="104">
        <v>7.1199999999999999E-2</v>
      </c>
      <c r="K515" s="104">
        <v>9.259130536145614</v>
      </c>
    </row>
    <row r="516" spans="3:11" hidden="1" x14ac:dyDescent="0.3">
      <c r="C516" s="104" t="s">
        <v>186</v>
      </c>
      <c r="D516" s="104" t="s">
        <v>34</v>
      </c>
      <c r="E516" s="104" t="s">
        <v>69</v>
      </c>
      <c r="F516" s="104">
        <v>15800</v>
      </c>
      <c r="G516" s="104">
        <v>5300</v>
      </c>
      <c r="H516" s="104">
        <v>1850</v>
      </c>
      <c r="I516" s="104">
        <v>2.8648648648648649</v>
      </c>
      <c r="J516" s="104">
        <v>7.2800000000000004E-2</v>
      </c>
      <c r="K516" s="104">
        <v>9.6677652190150578</v>
      </c>
    </row>
    <row r="517" spans="3:11" hidden="1" x14ac:dyDescent="0.3">
      <c r="C517" s="104" t="s">
        <v>14</v>
      </c>
      <c r="D517" s="104" t="s">
        <v>34</v>
      </c>
      <c r="E517" s="104" t="s">
        <v>69</v>
      </c>
      <c r="F517" s="104">
        <v>23642</v>
      </c>
      <c r="G517" s="104">
        <v>7842</v>
      </c>
      <c r="H517" s="104">
        <v>1906</v>
      </c>
      <c r="I517" s="104">
        <v>4.1143756558237143</v>
      </c>
      <c r="J517" s="104">
        <v>7.6172967788346257E-2</v>
      </c>
      <c r="K517" s="104">
        <v>10.070780070310322</v>
      </c>
    </row>
    <row r="518" spans="3:11" hidden="1" x14ac:dyDescent="0.3">
      <c r="C518" s="104" t="s">
        <v>64</v>
      </c>
      <c r="D518" s="104" t="s">
        <v>34</v>
      </c>
      <c r="E518" s="104" t="s">
        <v>69</v>
      </c>
      <c r="F518" s="104">
        <v>25587</v>
      </c>
      <c r="G518" s="104">
        <v>1945</v>
      </c>
      <c r="H518" s="104">
        <v>2938</v>
      </c>
      <c r="I518" s="104">
        <v>0.66201497617426819</v>
      </c>
      <c r="J518" s="104">
        <v>9.8228017385489808E-2</v>
      </c>
      <c r="K518" s="104">
        <v>10.149839688987219</v>
      </c>
    </row>
    <row r="519" spans="3:11" hidden="1" x14ac:dyDescent="0.3">
      <c r="C519" s="104" t="s">
        <v>65</v>
      </c>
      <c r="D519" s="104" t="s">
        <v>34</v>
      </c>
      <c r="E519" s="104" t="s">
        <v>69</v>
      </c>
      <c r="F519" s="104">
        <v>65112</v>
      </c>
      <c r="G519" s="104">
        <v>39525</v>
      </c>
      <c r="H519" s="104">
        <v>3855</v>
      </c>
      <c r="I519" s="104">
        <v>10.252918287937744</v>
      </c>
      <c r="J519" s="104">
        <v>0.11544681360804983</v>
      </c>
      <c r="K519" s="104">
        <v>11.083864143006878</v>
      </c>
    </row>
    <row r="520" spans="3:11" hidden="1" x14ac:dyDescent="0.3">
      <c r="C520" s="104" t="s">
        <v>66</v>
      </c>
      <c r="D520" s="104" t="s">
        <v>34</v>
      </c>
      <c r="E520" s="104" t="s">
        <v>69</v>
      </c>
      <c r="F520" s="104">
        <v>74948</v>
      </c>
      <c r="G520" s="104">
        <v>9836</v>
      </c>
      <c r="H520" s="104">
        <v>4388</v>
      </c>
      <c r="I520" s="104">
        <v>2.2415679124886054</v>
      </c>
      <c r="J520" s="104">
        <v>0.11997921964290596</v>
      </c>
      <c r="K520" s="104">
        <v>11.224549818718403</v>
      </c>
    </row>
    <row r="521" spans="3:11" hidden="1" x14ac:dyDescent="0.3">
      <c r="C521" s="104" t="s">
        <v>181</v>
      </c>
      <c r="D521" s="104" t="s">
        <v>56</v>
      </c>
      <c r="E521" s="104" t="s">
        <v>69</v>
      </c>
      <c r="F521" s="104">
        <v>1500</v>
      </c>
      <c r="G521" s="104"/>
      <c r="H521" s="104">
        <v>2800</v>
      </c>
      <c r="I521" s="104">
        <v>0</v>
      </c>
      <c r="J521" s="104">
        <v>6.8199999999999997E-2</v>
      </c>
      <c r="K521" s="104">
        <v>7.3132203870903014</v>
      </c>
    </row>
    <row r="522" spans="3:11" hidden="1" x14ac:dyDescent="0.3">
      <c r="C522" s="104" t="s">
        <v>182</v>
      </c>
      <c r="D522" s="104" t="s">
        <v>56</v>
      </c>
      <c r="E522" s="104" t="s">
        <v>69</v>
      </c>
      <c r="F522" s="104">
        <v>2200</v>
      </c>
      <c r="G522" s="104">
        <v>700</v>
      </c>
      <c r="H522" s="104">
        <v>4200</v>
      </c>
      <c r="I522" s="104">
        <v>0.16666666666666666</v>
      </c>
      <c r="J522" s="104">
        <v>8.5199999999999998E-2</v>
      </c>
      <c r="K522" s="104">
        <v>7.696212639346407</v>
      </c>
    </row>
    <row r="523" spans="3:11" hidden="1" x14ac:dyDescent="0.3">
      <c r="C523" s="104" t="s">
        <v>183</v>
      </c>
      <c r="D523" s="104" t="s">
        <v>56</v>
      </c>
      <c r="E523" s="104" t="s">
        <v>69</v>
      </c>
      <c r="F523" s="104">
        <v>8500</v>
      </c>
      <c r="G523" s="104">
        <v>6300</v>
      </c>
      <c r="H523" s="104">
        <v>6200</v>
      </c>
      <c r="I523" s="104">
        <v>1.0161290322580645</v>
      </c>
      <c r="J523" s="104">
        <v>9.8500000000000004E-2</v>
      </c>
      <c r="K523" s="104">
        <v>9.0478214424784085</v>
      </c>
    </row>
    <row r="524" spans="3:11" hidden="1" x14ac:dyDescent="0.3">
      <c r="C524" s="104" t="s">
        <v>184</v>
      </c>
      <c r="D524" s="104" t="s">
        <v>56</v>
      </c>
      <c r="E524" s="104" t="s">
        <v>69</v>
      </c>
      <c r="F524" s="104">
        <v>28000</v>
      </c>
      <c r="G524" s="104">
        <v>19500</v>
      </c>
      <c r="H524" s="104">
        <v>7800</v>
      </c>
      <c r="I524" s="104">
        <v>2.5</v>
      </c>
      <c r="J524" s="104">
        <v>0.1085</v>
      </c>
      <c r="K524" s="104">
        <v>10.239959789157341</v>
      </c>
    </row>
    <row r="525" spans="3:11" hidden="1" x14ac:dyDescent="0.3">
      <c r="C525" s="104" t="s">
        <v>185</v>
      </c>
      <c r="D525" s="104" t="s">
        <v>56</v>
      </c>
      <c r="E525" s="104" t="s">
        <v>69</v>
      </c>
      <c r="F525" s="104">
        <v>50000</v>
      </c>
      <c r="G525" s="104">
        <v>22000</v>
      </c>
      <c r="H525" s="104">
        <v>9200</v>
      </c>
      <c r="I525" s="104">
        <v>2.3913043478260869</v>
      </c>
      <c r="J525" s="104">
        <v>0.1125</v>
      </c>
      <c r="K525" s="104">
        <v>10.819778284410283</v>
      </c>
    </row>
    <row r="526" spans="3:11" hidden="1" x14ac:dyDescent="0.3">
      <c r="C526" s="104" t="s">
        <v>186</v>
      </c>
      <c r="D526" s="104" t="s">
        <v>56</v>
      </c>
      <c r="E526" s="104" t="s">
        <v>69</v>
      </c>
      <c r="F526" s="104">
        <v>155000</v>
      </c>
      <c r="G526" s="104">
        <v>105000</v>
      </c>
      <c r="H526" s="104">
        <v>10500</v>
      </c>
      <c r="I526" s="104">
        <v>10</v>
      </c>
      <c r="J526" s="104">
        <v>0.1285</v>
      </c>
      <c r="K526" s="104">
        <v>11.951180395901384</v>
      </c>
    </row>
    <row r="527" spans="3:11" hidden="1" x14ac:dyDescent="0.3">
      <c r="C527" s="104" t="s">
        <v>14</v>
      </c>
      <c r="D527" s="104" t="s">
        <v>56</v>
      </c>
      <c r="E527" s="104" t="s">
        <v>69</v>
      </c>
      <c r="F527" s="104">
        <v>306000</v>
      </c>
      <c r="G527" s="104">
        <v>151000</v>
      </c>
      <c r="H527" s="104">
        <v>11362</v>
      </c>
      <c r="I527" s="104">
        <v>13.289913747579652</v>
      </c>
      <c r="J527" s="104">
        <v>0.1459</v>
      </c>
      <c r="K527" s="104">
        <v>12.631340380934517</v>
      </c>
    </row>
    <row r="528" spans="3:11" hidden="1" x14ac:dyDescent="0.3">
      <c r="C528" s="104" t="s">
        <v>64</v>
      </c>
      <c r="D528" s="104" t="s">
        <v>56</v>
      </c>
      <c r="E528" s="104" t="s">
        <v>69</v>
      </c>
      <c r="F528" s="104">
        <v>253200</v>
      </c>
      <c r="G528" s="104">
        <v>-52800</v>
      </c>
      <c r="H528" s="104">
        <v>17289</v>
      </c>
      <c r="I528" s="104">
        <v>-3.0539649488113829</v>
      </c>
      <c r="J528" s="104">
        <v>0.1691</v>
      </c>
      <c r="K528" s="104">
        <v>12.441934969252157</v>
      </c>
    </row>
    <row r="529" spans="2:11" hidden="1" x14ac:dyDescent="0.3">
      <c r="C529" s="104" t="s">
        <v>65</v>
      </c>
      <c r="D529" s="104" t="s">
        <v>56</v>
      </c>
      <c r="E529" s="104" t="s">
        <v>69</v>
      </c>
      <c r="F529" s="104">
        <v>167700</v>
      </c>
      <c r="G529" s="104">
        <v>-85500</v>
      </c>
      <c r="H529" s="104">
        <v>19862</v>
      </c>
      <c r="I529" s="104">
        <v>-4.3047024468834962</v>
      </c>
      <c r="J529" s="104">
        <v>0.18559999999999999</v>
      </c>
      <c r="K529" s="104">
        <v>12.029931947811301</v>
      </c>
    </row>
    <row r="530" spans="2:11" hidden="1" x14ac:dyDescent="0.3">
      <c r="C530" s="104" t="s">
        <v>66</v>
      </c>
      <c r="D530" s="104" t="s">
        <v>56</v>
      </c>
      <c r="E530" s="104" t="s">
        <v>69</v>
      </c>
      <c r="F530" s="104">
        <v>167600</v>
      </c>
      <c r="G530" s="104">
        <v>-100</v>
      </c>
      <c r="H530" s="104">
        <v>21987</v>
      </c>
      <c r="I530" s="104">
        <v>-4.5481420839587026E-3</v>
      </c>
      <c r="J530" s="104">
        <v>0.21010000000000001</v>
      </c>
      <c r="K530" s="104">
        <v>12.029335467030119</v>
      </c>
    </row>
    <row r="532" spans="2:11" x14ac:dyDescent="0.3">
      <c r="B532" s="13" t="s">
        <v>69</v>
      </c>
      <c r="C532" t="s">
        <v>89</v>
      </c>
    </row>
    <row r="533" spans="2:11" ht="15" thickBot="1" x14ac:dyDescent="0.35"/>
    <row r="534" spans="2:11" x14ac:dyDescent="0.3">
      <c r="C534" s="159" t="s">
        <v>90</v>
      </c>
      <c r="D534" s="159"/>
    </row>
    <row r="535" spans="2:11" x14ac:dyDescent="0.3">
      <c r="C535" s="156" t="s">
        <v>91</v>
      </c>
      <c r="D535" s="156">
        <v>0.38842030908994751</v>
      </c>
    </row>
    <row r="536" spans="2:11" x14ac:dyDescent="0.3">
      <c r="C536" s="156" t="s">
        <v>92</v>
      </c>
      <c r="D536" s="156">
        <v>0.15087033651353035</v>
      </c>
    </row>
    <row r="537" spans="2:11" x14ac:dyDescent="0.3">
      <c r="C537" s="156" t="s">
        <v>93</v>
      </c>
      <c r="D537" s="156">
        <v>0.13318013519089558</v>
      </c>
    </row>
    <row r="538" spans="2:11" x14ac:dyDescent="0.3">
      <c r="C538" s="156" t="s">
        <v>76</v>
      </c>
      <c r="D538" s="156">
        <v>1.23729184874585</v>
      </c>
    </row>
    <row r="539" spans="2:11" ht="15" thickBot="1" x14ac:dyDescent="0.35">
      <c r="C539" s="157" t="s">
        <v>94</v>
      </c>
      <c r="D539" s="157">
        <v>50</v>
      </c>
    </row>
    <row r="541" spans="2:11" ht="15" thickBot="1" x14ac:dyDescent="0.35">
      <c r="C541" t="s">
        <v>95</v>
      </c>
    </row>
    <row r="542" spans="2:11" x14ac:dyDescent="0.3">
      <c r="C542" s="158"/>
      <c r="D542" s="158" t="s">
        <v>100</v>
      </c>
      <c r="E542" s="158" t="s">
        <v>101</v>
      </c>
      <c r="F542" s="158" t="s">
        <v>102</v>
      </c>
      <c r="G542" s="158" t="s">
        <v>103</v>
      </c>
      <c r="H542" s="158" t="s">
        <v>104</v>
      </c>
    </row>
    <row r="543" spans="2:11" x14ac:dyDescent="0.3">
      <c r="C543" s="156" t="s">
        <v>96</v>
      </c>
      <c r="D543" s="156">
        <v>1</v>
      </c>
      <c r="E543" s="156">
        <v>13.056157704067317</v>
      </c>
      <c r="F543" s="156">
        <v>13.056157704067317</v>
      </c>
      <c r="G543" s="156">
        <v>8.5284691656103586</v>
      </c>
      <c r="H543" s="156">
        <v>5.3125326995407656E-3</v>
      </c>
    </row>
    <row r="544" spans="2:11" x14ac:dyDescent="0.3">
      <c r="C544" s="156" t="s">
        <v>97</v>
      </c>
      <c r="D544" s="156">
        <v>48</v>
      </c>
      <c r="E544" s="156">
        <v>73.482773710700329</v>
      </c>
      <c r="F544" s="156">
        <v>1.5308911189729235</v>
      </c>
      <c r="G544" s="156"/>
      <c r="H544" s="156"/>
    </row>
    <row r="545" spans="3:11" ht="15" thickBot="1" x14ac:dyDescent="0.35">
      <c r="C545" s="157" t="s">
        <v>98</v>
      </c>
      <c r="D545" s="157">
        <v>49</v>
      </c>
      <c r="E545" s="157">
        <v>86.538931414767646</v>
      </c>
      <c r="F545" s="157"/>
      <c r="G545" s="157"/>
      <c r="H545" s="157"/>
    </row>
    <row r="546" spans="3:11" ht="15" thickBot="1" x14ac:dyDescent="0.35"/>
    <row r="547" spans="3:11" x14ac:dyDescent="0.3">
      <c r="C547" s="158"/>
      <c r="D547" s="158" t="s">
        <v>105</v>
      </c>
      <c r="E547" s="158" t="s">
        <v>76</v>
      </c>
      <c r="F547" s="158" t="s">
        <v>106</v>
      </c>
      <c r="G547" s="158" t="s">
        <v>107</v>
      </c>
      <c r="H547" s="158" t="s">
        <v>108</v>
      </c>
      <c r="I547" s="158" t="s">
        <v>109</v>
      </c>
      <c r="J547" s="158" t="s">
        <v>110</v>
      </c>
      <c r="K547" s="158" t="s">
        <v>111</v>
      </c>
    </row>
    <row r="548" spans="3:11" x14ac:dyDescent="0.3">
      <c r="C548" s="156" t="s">
        <v>99</v>
      </c>
      <c r="D548" s="156">
        <v>9.5883638939240665</v>
      </c>
      <c r="E548" s="156">
        <v>0.46090307225639615</v>
      </c>
      <c r="F548" s="156">
        <v>20.803428033107462</v>
      </c>
      <c r="G548" s="19">
        <v>1.1586661741388042E-25</v>
      </c>
      <c r="H548" s="156">
        <v>8.6616561569495634</v>
      </c>
      <c r="I548" s="156">
        <v>10.51507163089857</v>
      </c>
      <c r="J548" s="156">
        <v>8.6616561569495634</v>
      </c>
      <c r="K548" s="156">
        <v>10.51507163089857</v>
      </c>
    </row>
    <row r="549" spans="3:11" ht="29.4" thickBot="1" x14ac:dyDescent="0.35">
      <c r="C549" s="160" t="s">
        <v>6</v>
      </c>
      <c r="D549" s="157">
        <v>14.645372190838236</v>
      </c>
      <c r="E549" s="157">
        <v>5.014929953049994</v>
      </c>
      <c r="F549" s="157">
        <v>2.9203542876867448</v>
      </c>
      <c r="G549" s="20">
        <v>5.3125326995407795E-3</v>
      </c>
      <c r="H549" s="157">
        <v>4.562179720185064</v>
      </c>
      <c r="I549" s="157">
        <v>24.728564661491408</v>
      </c>
      <c r="J549" s="157">
        <v>4.562179720185064</v>
      </c>
      <c r="K549" s="157">
        <v>24.728564661491408</v>
      </c>
    </row>
    <row r="552" spans="3:11" hidden="1" x14ac:dyDescent="0.3">
      <c r="C552" s="13" t="s">
        <v>70</v>
      </c>
    </row>
    <row r="553" spans="3:11" hidden="1" x14ac:dyDescent="0.3">
      <c r="C553" s="104" t="s">
        <v>0</v>
      </c>
      <c r="D553" s="104" t="s">
        <v>2</v>
      </c>
      <c r="E553" s="104" t="s">
        <v>230</v>
      </c>
      <c r="F553" s="104" t="s">
        <v>229</v>
      </c>
      <c r="G553" s="104" t="s">
        <v>228</v>
      </c>
      <c r="H553" s="104" t="s">
        <v>227</v>
      </c>
      <c r="I553" s="104" t="s">
        <v>226</v>
      </c>
      <c r="J553" s="104" t="s">
        <v>6</v>
      </c>
      <c r="K553" s="104" t="s">
        <v>13</v>
      </c>
    </row>
    <row r="554" spans="3:11" hidden="1" x14ac:dyDescent="0.3">
      <c r="C554" s="104" t="s">
        <v>181</v>
      </c>
      <c r="D554" s="104" t="s">
        <v>21</v>
      </c>
      <c r="E554" s="104" t="s">
        <v>70</v>
      </c>
      <c r="F554" s="104">
        <v>6800</v>
      </c>
      <c r="G554" s="104"/>
      <c r="H554" s="104">
        <v>1650</v>
      </c>
      <c r="I554" s="104">
        <v>0</v>
      </c>
      <c r="J554" s="104">
        <v>0.112</v>
      </c>
      <c r="K554" s="104">
        <v>8.8246778911641979</v>
      </c>
    </row>
    <row r="555" spans="3:11" hidden="1" x14ac:dyDescent="0.3">
      <c r="C555" s="104" t="s">
        <v>182</v>
      </c>
      <c r="D555" s="104" t="s">
        <v>21</v>
      </c>
      <c r="E555" s="104" t="s">
        <v>70</v>
      </c>
      <c r="F555" s="104">
        <v>7200</v>
      </c>
      <c r="G555" s="104">
        <v>400</v>
      </c>
      <c r="H555" s="104">
        <v>1780</v>
      </c>
      <c r="I555" s="104">
        <v>0.2247191011235955</v>
      </c>
      <c r="J555" s="104">
        <v>0.11799999999999999</v>
      </c>
      <c r="K555" s="104">
        <v>8.8818363050041462</v>
      </c>
    </row>
    <row r="556" spans="3:11" hidden="1" x14ac:dyDescent="0.3">
      <c r="C556" s="104" t="s">
        <v>183</v>
      </c>
      <c r="D556" s="104" t="s">
        <v>21</v>
      </c>
      <c r="E556" s="104" t="s">
        <v>70</v>
      </c>
      <c r="F556" s="104">
        <v>6500</v>
      </c>
      <c r="G556" s="104">
        <v>-700</v>
      </c>
      <c r="H556" s="104">
        <v>1900</v>
      </c>
      <c r="I556" s="104">
        <v>-0.36842105263157893</v>
      </c>
      <c r="J556" s="104">
        <v>0.124</v>
      </c>
      <c r="K556" s="104">
        <v>8.7795574558837277</v>
      </c>
    </row>
    <row r="557" spans="3:11" hidden="1" x14ac:dyDescent="0.3">
      <c r="C557" s="104" t="s">
        <v>184</v>
      </c>
      <c r="D557" s="104" t="s">
        <v>21</v>
      </c>
      <c r="E557" s="104" t="s">
        <v>70</v>
      </c>
      <c r="F557" s="104">
        <v>7100</v>
      </c>
      <c r="G557" s="104">
        <v>600</v>
      </c>
      <c r="H557" s="104">
        <v>2020</v>
      </c>
      <c r="I557" s="104">
        <v>0.29702970297029702</v>
      </c>
      <c r="J557" s="104">
        <v>0.128</v>
      </c>
      <c r="K557" s="104">
        <v>8.8678500630294064</v>
      </c>
    </row>
    <row r="558" spans="3:11" hidden="1" x14ac:dyDescent="0.3">
      <c r="C558" s="104" t="s">
        <v>185</v>
      </c>
      <c r="D558" s="104" t="s">
        <v>21</v>
      </c>
      <c r="E558" s="104" t="s">
        <v>70</v>
      </c>
      <c r="F558" s="104">
        <v>5800</v>
      </c>
      <c r="G558" s="104">
        <v>-1300</v>
      </c>
      <c r="H558" s="104">
        <v>2100</v>
      </c>
      <c r="I558" s="104">
        <v>-0.61904761904761907</v>
      </c>
      <c r="J558" s="104">
        <v>0.13100000000000001</v>
      </c>
      <c r="K558" s="104">
        <v>8.66561319653451</v>
      </c>
    </row>
    <row r="559" spans="3:11" hidden="1" x14ac:dyDescent="0.3">
      <c r="C559" s="104" t="s">
        <v>186</v>
      </c>
      <c r="D559" s="104" t="s">
        <v>21</v>
      </c>
      <c r="E559" s="104" t="s">
        <v>70</v>
      </c>
      <c r="F559" s="104">
        <v>7500</v>
      </c>
      <c r="G559" s="104">
        <v>1700</v>
      </c>
      <c r="H559" s="104">
        <v>2180</v>
      </c>
      <c r="I559" s="104">
        <v>0.77981651376146788</v>
      </c>
      <c r="J559" s="104">
        <v>0.13500000000000001</v>
      </c>
      <c r="K559" s="104">
        <v>8.9226582995244019</v>
      </c>
    </row>
    <row r="560" spans="3:11" hidden="1" x14ac:dyDescent="0.3">
      <c r="C560" s="104" t="s">
        <v>14</v>
      </c>
      <c r="D560" s="104" t="s">
        <v>21</v>
      </c>
      <c r="E560" s="104" t="s">
        <v>70</v>
      </c>
      <c r="F560" s="104">
        <v>13078</v>
      </c>
      <c r="G560" s="104">
        <v>5578</v>
      </c>
      <c r="H560" s="104">
        <v>2271</v>
      </c>
      <c r="I560" s="104">
        <v>2.4561867018934391</v>
      </c>
      <c r="J560" s="104">
        <v>0.14019999999999999</v>
      </c>
      <c r="K560" s="104">
        <v>9.4786867081212218</v>
      </c>
    </row>
    <row r="561" spans="3:11" hidden="1" x14ac:dyDescent="0.3">
      <c r="C561" s="104" t="s">
        <v>64</v>
      </c>
      <c r="D561" s="104" t="s">
        <v>21</v>
      </c>
      <c r="E561" s="104" t="s">
        <v>70</v>
      </c>
      <c r="F561" s="104">
        <v>19305</v>
      </c>
      <c r="G561" s="104">
        <v>6227</v>
      </c>
      <c r="H561" s="104">
        <v>2710</v>
      </c>
      <c r="I561" s="104">
        <v>2.2977859778597787</v>
      </c>
      <c r="J561" s="104">
        <v>0.1643</v>
      </c>
      <c r="K561" s="104">
        <v>9.8681194086983375</v>
      </c>
    </row>
    <row r="562" spans="3:11" hidden="1" x14ac:dyDescent="0.3">
      <c r="C562" s="104" t="s">
        <v>65</v>
      </c>
      <c r="D562" s="104" t="s">
        <v>21</v>
      </c>
      <c r="E562" s="104" t="s">
        <v>70</v>
      </c>
      <c r="F562" s="104">
        <v>24188</v>
      </c>
      <c r="G562" s="104">
        <v>4883</v>
      </c>
      <c r="H562" s="104">
        <v>3169</v>
      </c>
      <c r="I562" s="104">
        <v>1.5408646260650047</v>
      </c>
      <c r="J562" s="104">
        <v>0.1875</v>
      </c>
      <c r="K562" s="104">
        <v>10.093611921393103</v>
      </c>
    </row>
    <row r="563" spans="3:11" hidden="1" x14ac:dyDescent="0.3">
      <c r="C563" s="104" t="s">
        <v>66</v>
      </c>
      <c r="D563" s="104" t="s">
        <v>21</v>
      </c>
      <c r="E563" s="104" t="s">
        <v>70</v>
      </c>
      <c r="F563" s="104">
        <v>25673</v>
      </c>
      <c r="G563" s="104">
        <v>1485</v>
      </c>
      <c r="H563" s="104">
        <v>3500</v>
      </c>
      <c r="I563" s="104">
        <v>0.42428571428571427</v>
      </c>
      <c r="J563" s="104">
        <v>0.1978</v>
      </c>
      <c r="K563" s="104">
        <v>10.153195134975888</v>
      </c>
    </row>
    <row r="564" spans="3:11" hidden="1" x14ac:dyDescent="0.3">
      <c r="C564" s="104" t="s">
        <v>181</v>
      </c>
      <c r="D564" s="104" t="s">
        <v>25</v>
      </c>
      <c r="E564" s="104" t="s">
        <v>70</v>
      </c>
      <c r="F564" s="104">
        <v>1200</v>
      </c>
      <c r="G564" s="104"/>
      <c r="H564" s="104">
        <v>98</v>
      </c>
      <c r="I564" s="104">
        <v>0</v>
      </c>
      <c r="J564" s="104">
        <v>5.8000000000000003E-2</v>
      </c>
      <c r="K564" s="104">
        <v>7.0900768357760917</v>
      </c>
    </row>
    <row r="565" spans="3:11" hidden="1" x14ac:dyDescent="0.3">
      <c r="C565" s="104" t="s">
        <v>182</v>
      </c>
      <c r="D565" s="104" t="s">
        <v>25</v>
      </c>
      <c r="E565" s="104" t="s">
        <v>70</v>
      </c>
      <c r="F565" s="104">
        <v>1580</v>
      </c>
      <c r="G565" s="104">
        <v>380</v>
      </c>
      <c r="H565" s="104">
        <v>112</v>
      </c>
      <c r="I565" s="104">
        <v>3.3928571428571428</v>
      </c>
      <c r="J565" s="104">
        <v>6.2E-2</v>
      </c>
      <c r="K565" s="104">
        <v>7.3651801260210128</v>
      </c>
    </row>
    <row r="566" spans="3:11" hidden="1" x14ac:dyDescent="0.3">
      <c r="C566" s="104" t="s">
        <v>183</v>
      </c>
      <c r="D566" s="104" t="s">
        <v>25</v>
      </c>
      <c r="E566" s="104" t="s">
        <v>70</v>
      </c>
      <c r="F566" s="104">
        <v>2200</v>
      </c>
      <c r="G566" s="104">
        <v>620</v>
      </c>
      <c r="H566" s="104">
        <v>145</v>
      </c>
      <c r="I566" s="104">
        <v>4.2758620689655169</v>
      </c>
      <c r="J566" s="104">
        <v>7.1999999999999995E-2</v>
      </c>
      <c r="K566" s="104">
        <v>7.696212639346407</v>
      </c>
    </row>
    <row r="567" spans="3:11" hidden="1" x14ac:dyDescent="0.3">
      <c r="C567" s="104" t="s">
        <v>184</v>
      </c>
      <c r="D567" s="104" t="s">
        <v>25</v>
      </c>
      <c r="E567" s="104" t="s">
        <v>70</v>
      </c>
      <c r="F567" s="104">
        <v>3800</v>
      </c>
      <c r="G567" s="104">
        <v>1600</v>
      </c>
      <c r="H567" s="104">
        <v>190</v>
      </c>
      <c r="I567" s="104">
        <v>8.4210526315789469</v>
      </c>
      <c r="J567" s="104">
        <v>8.2000000000000003E-2</v>
      </c>
      <c r="K567" s="104">
        <v>8.2427563457144775</v>
      </c>
    </row>
    <row r="568" spans="3:11" hidden="1" x14ac:dyDescent="0.3">
      <c r="C568" s="104" t="s">
        <v>185</v>
      </c>
      <c r="D568" s="104" t="s">
        <v>25</v>
      </c>
      <c r="E568" s="104" t="s">
        <v>70</v>
      </c>
      <c r="F568" s="104">
        <v>3200</v>
      </c>
      <c r="G568" s="104">
        <v>-600</v>
      </c>
      <c r="H568" s="104">
        <v>220</v>
      </c>
      <c r="I568" s="104">
        <v>-2.7272727272727271</v>
      </c>
      <c r="J568" s="104">
        <v>8.5000000000000006E-2</v>
      </c>
      <c r="K568" s="104">
        <v>8.0709060887878188</v>
      </c>
    </row>
    <row r="569" spans="3:11" hidden="1" x14ac:dyDescent="0.3">
      <c r="C569" s="104" t="s">
        <v>186</v>
      </c>
      <c r="D569" s="104" t="s">
        <v>25</v>
      </c>
      <c r="E569" s="104" t="s">
        <v>70</v>
      </c>
      <c r="F569" s="104">
        <v>4800</v>
      </c>
      <c r="G569" s="104">
        <v>1600</v>
      </c>
      <c r="H569" s="104">
        <v>260</v>
      </c>
      <c r="I569" s="104">
        <v>6.1538461538461542</v>
      </c>
      <c r="J569" s="104">
        <v>8.7999999999999995E-2</v>
      </c>
      <c r="K569" s="104">
        <v>8.4763711968959825</v>
      </c>
    </row>
    <row r="570" spans="3:11" hidden="1" x14ac:dyDescent="0.3">
      <c r="C570" s="104" t="s">
        <v>14</v>
      </c>
      <c r="D570" s="104" t="s">
        <v>25</v>
      </c>
      <c r="E570" s="104" t="s">
        <v>70</v>
      </c>
      <c r="F570" s="104">
        <v>7387</v>
      </c>
      <c r="G570" s="104">
        <v>2587</v>
      </c>
      <c r="H570" s="104">
        <v>298</v>
      </c>
      <c r="I570" s="104">
        <v>8.6812080536912752</v>
      </c>
      <c r="J570" s="104">
        <v>8.951637128266747E-2</v>
      </c>
      <c r="K570" s="104">
        <v>8.9074769775287379</v>
      </c>
    </row>
    <row r="571" spans="3:11" hidden="1" x14ac:dyDescent="0.3">
      <c r="C571" s="104" t="s">
        <v>64</v>
      </c>
      <c r="D571" s="104" t="s">
        <v>25</v>
      </c>
      <c r="E571" s="104" t="s">
        <v>70</v>
      </c>
      <c r="F571" s="104">
        <v>7991.2</v>
      </c>
      <c r="G571" s="104">
        <v>604.19999999999982</v>
      </c>
      <c r="H571" s="104">
        <v>125</v>
      </c>
      <c r="I571" s="104">
        <v>4.8335999999999988</v>
      </c>
      <c r="J571" s="104">
        <v>3.2358270774009837E-2</v>
      </c>
      <c r="K571" s="104">
        <v>8.9860962152179393</v>
      </c>
    </row>
    <row r="572" spans="3:11" hidden="1" x14ac:dyDescent="0.3">
      <c r="C572" s="104" t="s">
        <v>65</v>
      </c>
      <c r="D572" s="104" t="s">
        <v>25</v>
      </c>
      <c r="E572" s="104" t="s">
        <v>70</v>
      </c>
      <c r="F572" s="104">
        <v>6926.8082000000004</v>
      </c>
      <c r="G572" s="104">
        <v>-1064.3917999999994</v>
      </c>
      <c r="H572" s="104">
        <v>78</v>
      </c>
      <c r="I572" s="104">
        <v>-13.646048717948711</v>
      </c>
      <c r="J572" s="104">
        <v>1.8404907975460124E-2</v>
      </c>
      <c r="K572" s="104">
        <v>8.8431544088851144</v>
      </c>
    </row>
    <row r="573" spans="3:11" hidden="1" x14ac:dyDescent="0.3">
      <c r="C573" s="104" t="s">
        <v>66</v>
      </c>
      <c r="D573" s="104" t="s">
        <v>25</v>
      </c>
      <c r="E573" s="104" t="s">
        <v>70</v>
      </c>
      <c r="F573" s="104">
        <v>6438.8661000000002</v>
      </c>
      <c r="G573" s="104">
        <v>-487.94210000000021</v>
      </c>
      <c r="H573" s="104">
        <v>20</v>
      </c>
      <c r="I573" s="104">
        <v>-24.39710500000001</v>
      </c>
      <c r="J573" s="104">
        <v>4.3029259896729772E-3</v>
      </c>
      <c r="K573" s="104">
        <v>8.7701077321674337</v>
      </c>
    </row>
    <row r="574" spans="3:11" hidden="1" x14ac:dyDescent="0.3">
      <c r="C574" s="104" t="s">
        <v>181</v>
      </c>
      <c r="D574" s="104" t="s">
        <v>29</v>
      </c>
      <c r="E574" s="104" t="s">
        <v>70</v>
      </c>
      <c r="F574" s="104">
        <v>1850</v>
      </c>
      <c r="G574" s="104"/>
      <c r="H574" s="104">
        <v>210</v>
      </c>
      <c r="I574" s="104">
        <v>0</v>
      </c>
      <c r="J574" s="104">
        <v>3.4200000000000001E-2</v>
      </c>
      <c r="K574" s="104">
        <v>7.5229409180723703</v>
      </c>
    </row>
    <row r="575" spans="3:11" hidden="1" x14ac:dyDescent="0.3">
      <c r="C575" s="104" t="s">
        <v>182</v>
      </c>
      <c r="D575" s="104" t="s">
        <v>29</v>
      </c>
      <c r="E575" s="104" t="s">
        <v>70</v>
      </c>
      <c r="F575" s="104">
        <v>2100</v>
      </c>
      <c r="G575" s="104">
        <v>250</v>
      </c>
      <c r="H575" s="104">
        <v>238</v>
      </c>
      <c r="I575" s="104">
        <v>1.0504201680672269</v>
      </c>
      <c r="J575" s="104">
        <v>3.6799999999999999E-2</v>
      </c>
      <c r="K575" s="104">
        <v>7.6496926237115144</v>
      </c>
    </row>
    <row r="576" spans="3:11" hidden="1" x14ac:dyDescent="0.3">
      <c r="C576" s="104" t="s">
        <v>183</v>
      </c>
      <c r="D576" s="104" t="s">
        <v>29</v>
      </c>
      <c r="E576" s="104" t="s">
        <v>70</v>
      </c>
      <c r="F576" s="104">
        <v>2450</v>
      </c>
      <c r="G576" s="104">
        <v>350</v>
      </c>
      <c r="H576" s="104">
        <v>268</v>
      </c>
      <c r="I576" s="104">
        <v>1.3059701492537314</v>
      </c>
      <c r="J576" s="104">
        <v>3.95E-2</v>
      </c>
      <c r="K576" s="104">
        <v>7.8038433035387724</v>
      </c>
    </row>
    <row r="577" spans="3:11" hidden="1" x14ac:dyDescent="0.3">
      <c r="C577" s="104" t="s">
        <v>184</v>
      </c>
      <c r="D577" s="104" t="s">
        <v>29</v>
      </c>
      <c r="E577" s="104" t="s">
        <v>70</v>
      </c>
      <c r="F577" s="104">
        <v>3800</v>
      </c>
      <c r="G577" s="104">
        <v>1350</v>
      </c>
      <c r="H577" s="104">
        <v>298</v>
      </c>
      <c r="I577" s="104">
        <v>4.5302013422818792</v>
      </c>
      <c r="J577" s="104">
        <v>4.2000000000000003E-2</v>
      </c>
      <c r="K577" s="104">
        <v>8.2427563457144775</v>
      </c>
    </row>
    <row r="578" spans="3:11" hidden="1" x14ac:dyDescent="0.3">
      <c r="C578" s="104" t="s">
        <v>185</v>
      </c>
      <c r="D578" s="104" t="s">
        <v>29</v>
      </c>
      <c r="E578" s="104" t="s">
        <v>70</v>
      </c>
      <c r="F578" s="104">
        <v>2200</v>
      </c>
      <c r="G578" s="104">
        <v>-1600</v>
      </c>
      <c r="H578" s="104">
        <v>318</v>
      </c>
      <c r="I578" s="104">
        <v>-5.0314465408805029</v>
      </c>
      <c r="J578" s="104">
        <v>4.3499999999999997E-2</v>
      </c>
      <c r="K578" s="104">
        <v>7.696212639346407</v>
      </c>
    </row>
    <row r="579" spans="3:11" hidden="1" x14ac:dyDescent="0.3">
      <c r="C579" s="104" t="s">
        <v>186</v>
      </c>
      <c r="D579" s="104" t="s">
        <v>29</v>
      </c>
      <c r="E579" s="104" t="s">
        <v>70</v>
      </c>
      <c r="F579" s="104">
        <v>2600</v>
      </c>
      <c r="G579" s="104">
        <v>400</v>
      </c>
      <c r="H579" s="104">
        <v>328</v>
      </c>
      <c r="I579" s="104">
        <v>1.2195121951219512</v>
      </c>
      <c r="J579" s="104">
        <v>4.48E-2</v>
      </c>
      <c r="K579" s="104">
        <v>7.8632667240095735</v>
      </c>
    </row>
    <row r="580" spans="3:11" hidden="1" x14ac:dyDescent="0.3">
      <c r="C580" s="104" t="s">
        <v>14</v>
      </c>
      <c r="D580" s="104" t="s">
        <v>29</v>
      </c>
      <c r="E580" s="104" t="s">
        <v>70</v>
      </c>
      <c r="F580" s="104">
        <v>3126</v>
      </c>
      <c r="G580" s="104">
        <v>526</v>
      </c>
      <c r="H580" s="104">
        <v>338</v>
      </c>
      <c r="I580" s="104">
        <v>1.5562130177514792</v>
      </c>
      <c r="J580" s="104">
        <v>4.8599999999999997E-2</v>
      </c>
      <c r="K580" s="104">
        <v>8.0475095109814223</v>
      </c>
    </row>
    <row r="581" spans="3:11" hidden="1" x14ac:dyDescent="0.3">
      <c r="C581" s="104" t="s">
        <v>64</v>
      </c>
      <c r="D581" s="104" t="s">
        <v>29</v>
      </c>
      <c r="E581" s="104" t="s">
        <v>70</v>
      </c>
      <c r="F581" s="104">
        <v>5070</v>
      </c>
      <c r="G581" s="104">
        <v>1944</v>
      </c>
      <c r="H581" s="104">
        <v>435</v>
      </c>
      <c r="I581" s="104">
        <v>4.4689655172413794</v>
      </c>
      <c r="J581" s="104">
        <v>5.67E-2</v>
      </c>
      <c r="K581" s="104">
        <v>8.5310960965852285</v>
      </c>
    </row>
    <row r="582" spans="3:11" hidden="1" x14ac:dyDescent="0.3">
      <c r="C582" s="104" t="s">
        <v>65</v>
      </c>
      <c r="D582" s="104" t="s">
        <v>29</v>
      </c>
      <c r="E582" s="104" t="s">
        <v>70</v>
      </c>
      <c r="F582" s="104">
        <v>7698</v>
      </c>
      <c r="G582" s="104">
        <v>2628</v>
      </c>
      <c r="H582" s="104">
        <v>481</v>
      </c>
      <c r="I582" s="104">
        <v>5.4636174636174637</v>
      </c>
      <c r="J582" s="104">
        <v>6.4100000000000004E-2</v>
      </c>
      <c r="K582" s="104">
        <v>8.948715833843691</v>
      </c>
    </row>
    <row r="583" spans="3:11" hidden="1" x14ac:dyDescent="0.3">
      <c r="C583" s="104" t="s">
        <v>66</v>
      </c>
      <c r="D583" s="104" t="s">
        <v>29</v>
      </c>
      <c r="E583" s="104" t="s">
        <v>70</v>
      </c>
      <c r="F583" s="104">
        <v>6800</v>
      </c>
      <c r="G583" s="104">
        <v>-898</v>
      </c>
      <c r="H583" s="104">
        <v>500</v>
      </c>
      <c r="I583" s="104">
        <v>-1.796</v>
      </c>
      <c r="J583" s="104">
        <v>6.3500000000000001E-2</v>
      </c>
      <c r="K583" s="104">
        <v>8.8246778911641979</v>
      </c>
    </row>
    <row r="584" spans="3:11" hidden="1" x14ac:dyDescent="0.3">
      <c r="C584" s="104" t="s">
        <v>181</v>
      </c>
      <c r="D584" s="104" t="s">
        <v>31</v>
      </c>
      <c r="E584" s="104" t="s">
        <v>70</v>
      </c>
      <c r="F584" s="104">
        <v>800</v>
      </c>
      <c r="G584" s="104"/>
      <c r="H584" s="104">
        <v>210</v>
      </c>
      <c r="I584" s="104">
        <v>0</v>
      </c>
      <c r="J584" s="104">
        <v>3.85E-2</v>
      </c>
      <c r="K584" s="104">
        <v>6.6846117276679271</v>
      </c>
    </row>
    <row r="585" spans="3:11" hidden="1" x14ac:dyDescent="0.3">
      <c r="C585" s="104" t="s">
        <v>182</v>
      </c>
      <c r="D585" s="104" t="s">
        <v>31</v>
      </c>
      <c r="E585" s="104" t="s">
        <v>70</v>
      </c>
      <c r="F585" s="104">
        <v>1050</v>
      </c>
      <c r="G585" s="104">
        <v>250</v>
      </c>
      <c r="H585" s="104">
        <v>268</v>
      </c>
      <c r="I585" s="104">
        <v>0.93283582089552242</v>
      </c>
      <c r="J585" s="104">
        <v>4.2000000000000003E-2</v>
      </c>
      <c r="K585" s="104">
        <v>6.956545443151569</v>
      </c>
    </row>
    <row r="586" spans="3:11" hidden="1" x14ac:dyDescent="0.3">
      <c r="C586" s="104" t="s">
        <v>183</v>
      </c>
      <c r="D586" s="104" t="s">
        <v>31</v>
      </c>
      <c r="E586" s="104" t="s">
        <v>70</v>
      </c>
      <c r="F586" s="104">
        <v>1480</v>
      </c>
      <c r="G586" s="104">
        <v>430</v>
      </c>
      <c r="H586" s="104">
        <v>328</v>
      </c>
      <c r="I586" s="104">
        <v>1.3109756097560976</v>
      </c>
      <c r="J586" s="104">
        <v>4.6199999999999998E-2</v>
      </c>
      <c r="K586" s="104">
        <v>7.2997973667581606</v>
      </c>
    </row>
    <row r="587" spans="3:11" hidden="1" x14ac:dyDescent="0.3">
      <c r="C587" s="104" t="s">
        <v>184</v>
      </c>
      <c r="D587" s="104" t="s">
        <v>31</v>
      </c>
      <c r="E587" s="104" t="s">
        <v>70</v>
      </c>
      <c r="F587" s="104">
        <v>2200</v>
      </c>
      <c r="G587" s="104">
        <v>720</v>
      </c>
      <c r="H587" s="104">
        <v>392</v>
      </c>
      <c r="I587" s="104">
        <v>1.8367346938775511</v>
      </c>
      <c r="J587" s="104">
        <v>4.9799999999999997E-2</v>
      </c>
      <c r="K587" s="104">
        <v>7.696212639346407</v>
      </c>
    </row>
    <row r="588" spans="3:11" hidden="1" x14ac:dyDescent="0.3">
      <c r="C588" s="104" t="s">
        <v>185</v>
      </c>
      <c r="D588" s="104" t="s">
        <v>31</v>
      </c>
      <c r="E588" s="104" t="s">
        <v>70</v>
      </c>
      <c r="F588" s="104">
        <v>2800</v>
      </c>
      <c r="G588" s="104">
        <v>600</v>
      </c>
      <c r="H588" s="104">
        <v>435</v>
      </c>
      <c r="I588" s="104">
        <v>1.3793103448275863</v>
      </c>
      <c r="J588" s="104">
        <v>5.2200000000000003E-2</v>
      </c>
      <c r="K588" s="104">
        <v>7.9373746961632952</v>
      </c>
    </row>
    <row r="589" spans="3:11" hidden="1" x14ac:dyDescent="0.3">
      <c r="C589" s="104" t="s">
        <v>186</v>
      </c>
      <c r="D589" s="104" t="s">
        <v>31</v>
      </c>
      <c r="E589" s="104" t="s">
        <v>70</v>
      </c>
      <c r="F589" s="104">
        <v>4800</v>
      </c>
      <c r="G589" s="104">
        <v>2000</v>
      </c>
      <c r="H589" s="104">
        <v>458</v>
      </c>
      <c r="I589" s="104">
        <v>4.3668122270742362</v>
      </c>
      <c r="J589" s="104">
        <v>5.4800000000000001E-2</v>
      </c>
      <c r="K589" s="104">
        <v>8.4763711968959825</v>
      </c>
    </row>
    <row r="590" spans="3:11" hidden="1" x14ac:dyDescent="0.3">
      <c r="C590" s="104" t="s">
        <v>14</v>
      </c>
      <c r="D590" s="104" t="s">
        <v>31</v>
      </c>
      <c r="E590" s="104" t="s">
        <v>70</v>
      </c>
      <c r="F590" s="104">
        <v>14969.16</v>
      </c>
      <c r="G590" s="104">
        <v>10169.16</v>
      </c>
      <c r="H590" s="104">
        <v>483</v>
      </c>
      <c r="I590" s="104">
        <v>21.054161490683228</v>
      </c>
      <c r="J590" s="104">
        <v>5.7700000000000001E-2</v>
      </c>
      <c r="K590" s="104">
        <v>9.6137473636148751</v>
      </c>
    </row>
    <row r="591" spans="3:11" hidden="1" x14ac:dyDescent="0.3">
      <c r="C591" s="104" t="s">
        <v>64</v>
      </c>
      <c r="D591" s="104" t="s">
        <v>31</v>
      </c>
      <c r="E591" s="104" t="s">
        <v>70</v>
      </c>
      <c r="F591" s="104">
        <v>9708.68</v>
      </c>
      <c r="G591" s="104">
        <v>-5260.48</v>
      </c>
      <c r="H591" s="104">
        <v>673</v>
      </c>
      <c r="I591" s="104">
        <v>-7.8164635958395241</v>
      </c>
      <c r="J591" s="104">
        <v>6.3600000000000004E-2</v>
      </c>
      <c r="K591" s="104">
        <v>9.1807756097168767</v>
      </c>
    </row>
    <row r="592" spans="3:11" hidden="1" x14ac:dyDescent="0.3">
      <c r="C592" s="104" t="s">
        <v>65</v>
      </c>
      <c r="D592" s="104" t="s">
        <v>31</v>
      </c>
      <c r="E592" s="104" t="s">
        <v>70</v>
      </c>
      <c r="F592" s="104">
        <v>12648.36</v>
      </c>
      <c r="G592" s="104">
        <v>2939.6800000000003</v>
      </c>
      <c r="H592" s="104">
        <v>695</v>
      </c>
      <c r="I592" s="104">
        <v>4.2297553956834539</v>
      </c>
      <c r="J592" s="104">
        <v>7.3975518893028211E-2</v>
      </c>
      <c r="K592" s="104">
        <v>9.4452828414823475</v>
      </c>
    </row>
    <row r="593" spans="3:11" hidden="1" x14ac:dyDescent="0.3">
      <c r="C593" s="104" t="s">
        <v>66</v>
      </c>
      <c r="D593" s="104" t="s">
        <v>31</v>
      </c>
      <c r="E593" s="104" t="s">
        <v>70</v>
      </c>
      <c r="F593" s="104">
        <v>10047.129999999999</v>
      </c>
      <c r="G593" s="104">
        <v>-2601.2300000000014</v>
      </c>
      <c r="H593" s="104">
        <v>720</v>
      </c>
      <c r="I593" s="104">
        <v>-3.6128194444444466</v>
      </c>
      <c r="J593" s="104">
        <v>7.3401977775512287E-2</v>
      </c>
      <c r="K593" s="104">
        <v>9.2150423005644306</v>
      </c>
    </row>
    <row r="594" spans="3:11" hidden="1" x14ac:dyDescent="0.3">
      <c r="C594" s="104" t="s">
        <v>181</v>
      </c>
      <c r="D594" s="104" t="s">
        <v>48</v>
      </c>
      <c r="E594" s="104" t="s">
        <v>74</v>
      </c>
      <c r="F594" s="104">
        <v>1250</v>
      </c>
      <c r="G594" s="104"/>
      <c r="H594" s="104">
        <v>185</v>
      </c>
      <c r="I594" s="104">
        <v>0</v>
      </c>
      <c r="J594" s="104">
        <v>2.18E-2</v>
      </c>
      <c r="K594" s="104">
        <v>7.1308988302963465</v>
      </c>
    </row>
    <row r="595" spans="3:11" hidden="1" x14ac:dyDescent="0.3">
      <c r="C595" s="104" t="s">
        <v>182</v>
      </c>
      <c r="D595" s="104" t="s">
        <v>48</v>
      </c>
      <c r="E595" s="104" t="s">
        <v>74</v>
      </c>
      <c r="F595" s="104">
        <v>1680</v>
      </c>
      <c r="G595" s="104">
        <v>430</v>
      </c>
      <c r="H595" s="104">
        <v>215</v>
      </c>
      <c r="I595" s="104">
        <v>2</v>
      </c>
      <c r="J595" s="104">
        <v>2.4199999999999999E-2</v>
      </c>
      <c r="K595" s="104">
        <v>7.4265490723973047</v>
      </c>
    </row>
    <row r="596" spans="3:11" hidden="1" x14ac:dyDescent="0.3">
      <c r="C596" s="104" t="s">
        <v>183</v>
      </c>
      <c r="D596" s="104" t="s">
        <v>48</v>
      </c>
      <c r="E596" s="104" t="s">
        <v>74</v>
      </c>
      <c r="F596" s="104">
        <v>2800</v>
      </c>
      <c r="G596" s="104">
        <v>1120</v>
      </c>
      <c r="H596" s="104">
        <v>248</v>
      </c>
      <c r="I596" s="104">
        <v>4.5161290322580649</v>
      </c>
      <c r="J596" s="104">
        <v>2.6800000000000001E-2</v>
      </c>
      <c r="K596" s="104">
        <v>7.9373746961632952</v>
      </c>
    </row>
    <row r="597" spans="3:11" hidden="1" x14ac:dyDescent="0.3">
      <c r="C597" s="104" t="s">
        <v>184</v>
      </c>
      <c r="D597" s="104" t="s">
        <v>48</v>
      </c>
      <c r="E597" s="104" t="s">
        <v>74</v>
      </c>
      <c r="F597" s="104">
        <v>3800</v>
      </c>
      <c r="G597" s="104">
        <v>1000</v>
      </c>
      <c r="H597" s="104">
        <v>285</v>
      </c>
      <c r="I597" s="104">
        <v>3.5087719298245612</v>
      </c>
      <c r="J597" s="104">
        <v>2.9499999999999998E-2</v>
      </c>
      <c r="K597" s="104">
        <v>8.2427563457144775</v>
      </c>
    </row>
    <row r="598" spans="3:11" hidden="1" x14ac:dyDescent="0.3">
      <c r="C598" s="104" t="s">
        <v>185</v>
      </c>
      <c r="D598" s="104" t="s">
        <v>48</v>
      </c>
      <c r="E598" s="104" t="s">
        <v>74</v>
      </c>
      <c r="F598" s="104">
        <v>2200</v>
      </c>
      <c r="G598" s="104">
        <v>-1600</v>
      </c>
      <c r="H598" s="104">
        <v>318</v>
      </c>
      <c r="I598" s="104">
        <v>-5.0314465408805029</v>
      </c>
      <c r="J598" s="104">
        <v>3.1800000000000002E-2</v>
      </c>
      <c r="K598" s="104">
        <v>7.696212639346407</v>
      </c>
    </row>
    <row r="599" spans="3:11" hidden="1" x14ac:dyDescent="0.3">
      <c r="C599" s="104" t="s">
        <v>186</v>
      </c>
      <c r="D599" s="104" t="s">
        <v>48</v>
      </c>
      <c r="E599" s="104" t="s">
        <v>74</v>
      </c>
      <c r="F599" s="104">
        <v>3500</v>
      </c>
      <c r="G599" s="104">
        <v>1300</v>
      </c>
      <c r="H599" s="104">
        <v>345</v>
      </c>
      <c r="I599" s="104">
        <v>3.7681159420289854</v>
      </c>
      <c r="J599" s="104">
        <v>3.3500000000000002E-2</v>
      </c>
      <c r="K599" s="104">
        <v>8.1605182474775049</v>
      </c>
    </row>
    <row r="600" spans="3:11" hidden="1" x14ac:dyDescent="0.3">
      <c r="C600" s="104" t="s">
        <v>14</v>
      </c>
      <c r="D600" s="104" t="s">
        <v>48</v>
      </c>
      <c r="E600" s="104" t="s">
        <v>74</v>
      </c>
      <c r="F600" s="104">
        <v>6600</v>
      </c>
      <c r="G600" s="104">
        <v>3100</v>
      </c>
      <c r="H600" s="104">
        <v>366</v>
      </c>
      <c r="I600" s="104">
        <v>8.4699453551912569</v>
      </c>
      <c r="J600" s="104">
        <v>3.85E-2</v>
      </c>
      <c r="K600" s="104">
        <v>8.794824928014517</v>
      </c>
    </row>
    <row r="601" spans="3:11" hidden="1" x14ac:dyDescent="0.3">
      <c r="C601" s="104" t="s">
        <v>64</v>
      </c>
      <c r="D601" s="104" t="s">
        <v>48</v>
      </c>
      <c r="E601" s="104" t="s">
        <v>74</v>
      </c>
      <c r="F601" s="104">
        <v>7400</v>
      </c>
      <c r="G601" s="104">
        <v>800</v>
      </c>
      <c r="H601" s="104">
        <v>521</v>
      </c>
      <c r="I601" s="104">
        <v>1.5355086372360844</v>
      </c>
      <c r="J601" s="104">
        <v>4.3700000000000003E-2</v>
      </c>
      <c r="K601" s="104">
        <v>8.9092352791922611</v>
      </c>
    </row>
    <row r="602" spans="3:11" hidden="1" x14ac:dyDescent="0.3">
      <c r="C602" s="104" t="s">
        <v>65</v>
      </c>
      <c r="D602" s="104" t="s">
        <v>48</v>
      </c>
      <c r="E602" s="104" t="s">
        <v>74</v>
      </c>
      <c r="F602" s="104">
        <v>11194</v>
      </c>
      <c r="G602" s="104">
        <v>3794</v>
      </c>
      <c r="H602" s="104">
        <v>615</v>
      </c>
      <c r="I602" s="104">
        <v>6.1691056910569104</v>
      </c>
      <c r="J602" s="104">
        <v>5.1799999999999999E-2</v>
      </c>
      <c r="K602" s="104">
        <v>9.3231331994513056</v>
      </c>
    </row>
    <row r="603" spans="3:11" hidden="1" x14ac:dyDescent="0.3">
      <c r="C603" s="104" t="s">
        <v>66</v>
      </c>
      <c r="D603" s="104" t="s">
        <v>48</v>
      </c>
      <c r="E603" s="104" t="s">
        <v>74</v>
      </c>
      <c r="F603" s="104">
        <v>6495</v>
      </c>
      <c r="G603" s="104">
        <v>-4699</v>
      </c>
      <c r="H603" s="104">
        <v>650</v>
      </c>
      <c r="I603" s="104">
        <v>-7.2292307692307691</v>
      </c>
      <c r="J603" s="104">
        <v>5.3199999999999997E-2</v>
      </c>
      <c r="K603" s="104">
        <v>8.7787879291047002</v>
      </c>
    </row>
    <row r="604" spans="3:11" hidden="1" x14ac:dyDescent="0.3">
      <c r="C604" s="104" t="s">
        <v>181</v>
      </c>
      <c r="D604" s="104" t="s">
        <v>50</v>
      </c>
      <c r="E604" s="104" t="s">
        <v>74</v>
      </c>
      <c r="F604" s="104">
        <v>420</v>
      </c>
      <c r="G604" s="104"/>
      <c r="H604" s="104">
        <v>68</v>
      </c>
      <c r="I604" s="104">
        <v>0</v>
      </c>
      <c r="J604" s="104">
        <v>1.8499999999999999E-2</v>
      </c>
      <c r="K604" s="104">
        <v>6.0402547112774139</v>
      </c>
    </row>
    <row r="605" spans="3:11" hidden="1" x14ac:dyDescent="0.3">
      <c r="C605" s="104" t="s">
        <v>182</v>
      </c>
      <c r="D605" s="104" t="s">
        <v>50</v>
      </c>
      <c r="E605" s="104" t="s">
        <v>74</v>
      </c>
      <c r="F605" s="104">
        <v>580</v>
      </c>
      <c r="G605" s="104">
        <v>160</v>
      </c>
      <c r="H605" s="104">
        <v>88</v>
      </c>
      <c r="I605" s="104">
        <v>1.8181818181818181</v>
      </c>
      <c r="J605" s="104">
        <v>2.18E-2</v>
      </c>
      <c r="K605" s="104">
        <v>6.363028103540465</v>
      </c>
    </row>
    <row r="606" spans="3:11" hidden="1" x14ac:dyDescent="0.3">
      <c r="C606" s="104" t="s">
        <v>183</v>
      </c>
      <c r="D606" s="104" t="s">
        <v>50</v>
      </c>
      <c r="E606" s="104" t="s">
        <v>74</v>
      </c>
      <c r="F606" s="104">
        <v>950</v>
      </c>
      <c r="G606" s="104">
        <v>370</v>
      </c>
      <c r="H606" s="104">
        <v>108</v>
      </c>
      <c r="I606" s="104">
        <v>3.425925925925926</v>
      </c>
      <c r="J606" s="104">
        <v>2.4799999999999999E-2</v>
      </c>
      <c r="K606" s="104">
        <v>6.8564619845945867</v>
      </c>
    </row>
    <row r="607" spans="3:11" hidden="1" x14ac:dyDescent="0.3">
      <c r="C607" s="104" t="s">
        <v>184</v>
      </c>
      <c r="D607" s="104" t="s">
        <v>50</v>
      </c>
      <c r="E607" s="104" t="s">
        <v>74</v>
      </c>
      <c r="F607" s="104">
        <v>2800</v>
      </c>
      <c r="G607" s="104">
        <v>1850</v>
      </c>
      <c r="H607" s="104">
        <v>128</v>
      </c>
      <c r="I607" s="104">
        <v>14.453125</v>
      </c>
      <c r="J607" s="104">
        <v>2.7199999999999998E-2</v>
      </c>
      <c r="K607" s="104">
        <v>7.9373746961632952</v>
      </c>
    </row>
    <row r="608" spans="3:11" hidden="1" x14ac:dyDescent="0.3">
      <c r="C608" s="104" t="s">
        <v>185</v>
      </c>
      <c r="D608" s="104" t="s">
        <v>50</v>
      </c>
      <c r="E608" s="104" t="s">
        <v>74</v>
      </c>
      <c r="F608" s="104">
        <v>1800</v>
      </c>
      <c r="G608" s="104">
        <v>-1000</v>
      </c>
      <c r="H608" s="104">
        <v>140</v>
      </c>
      <c r="I608" s="104">
        <v>-7.1428571428571432</v>
      </c>
      <c r="J608" s="104">
        <v>2.8500000000000001E-2</v>
      </c>
      <c r="K608" s="104">
        <v>7.4955419438842563</v>
      </c>
    </row>
    <row r="609" spans="2:11" hidden="1" x14ac:dyDescent="0.3">
      <c r="C609" s="104" t="s">
        <v>186</v>
      </c>
      <c r="D609" s="104" t="s">
        <v>50</v>
      </c>
      <c r="E609" s="104" t="s">
        <v>74</v>
      </c>
      <c r="F609" s="104">
        <v>2800</v>
      </c>
      <c r="G609" s="104">
        <v>1000</v>
      </c>
      <c r="H609" s="104">
        <v>150</v>
      </c>
      <c r="I609" s="104">
        <v>6.666666666666667</v>
      </c>
      <c r="J609" s="104">
        <v>2.9000000000000001E-2</v>
      </c>
      <c r="K609" s="104">
        <v>7.9373746961632952</v>
      </c>
    </row>
    <row r="610" spans="2:11" hidden="1" x14ac:dyDescent="0.3">
      <c r="C610" s="104" t="s">
        <v>14</v>
      </c>
      <c r="D610" s="104" t="s">
        <v>50</v>
      </c>
      <c r="E610" s="104" t="s">
        <v>74</v>
      </c>
      <c r="F610" s="104">
        <v>3575</v>
      </c>
      <c r="G610" s="104">
        <v>775</v>
      </c>
      <c r="H610" s="104">
        <v>161</v>
      </c>
      <c r="I610" s="104">
        <v>4.8136645962732922</v>
      </c>
      <c r="J610" s="104">
        <v>2.93E-2</v>
      </c>
      <c r="K610" s="104">
        <v>8.181720455128108</v>
      </c>
    </row>
    <row r="611" spans="2:11" hidden="1" x14ac:dyDescent="0.3">
      <c r="C611" s="104" t="s">
        <v>64</v>
      </c>
      <c r="D611" s="104" t="s">
        <v>50</v>
      </c>
      <c r="E611" s="104" t="s">
        <v>74</v>
      </c>
      <c r="F611" s="104">
        <v>4285</v>
      </c>
      <c r="G611" s="104">
        <v>710</v>
      </c>
      <c r="H611" s="104">
        <v>234</v>
      </c>
      <c r="I611" s="104">
        <v>3.0341880341880341</v>
      </c>
      <c r="J611" s="104">
        <v>3.39E-2</v>
      </c>
      <c r="K611" s="104">
        <v>8.3628758310318805</v>
      </c>
    </row>
    <row r="612" spans="2:11" hidden="1" x14ac:dyDescent="0.3">
      <c r="C612" s="104" t="s">
        <v>65</v>
      </c>
      <c r="D612" s="104" t="s">
        <v>50</v>
      </c>
      <c r="E612" s="104" t="s">
        <v>74</v>
      </c>
      <c r="F612" s="104">
        <v>7959</v>
      </c>
      <c r="G612" s="104">
        <v>3674</v>
      </c>
      <c r="H612" s="104">
        <v>262</v>
      </c>
      <c r="I612" s="104">
        <v>14.022900763358779</v>
      </c>
      <c r="J612" s="104">
        <v>3.6600000000000001E-2</v>
      </c>
      <c r="K612" s="104">
        <v>8.9820586428058498</v>
      </c>
    </row>
    <row r="613" spans="2:11" hidden="1" x14ac:dyDescent="0.3">
      <c r="C613" s="104" t="s">
        <v>66</v>
      </c>
      <c r="D613" s="104" t="s">
        <v>50</v>
      </c>
      <c r="E613" s="104" t="s">
        <v>74</v>
      </c>
      <c r="F613" s="104">
        <v>5800</v>
      </c>
      <c r="G613" s="104">
        <v>-2159</v>
      </c>
      <c r="H613" s="104">
        <v>290</v>
      </c>
      <c r="I613" s="104">
        <v>-7.4448275862068964</v>
      </c>
      <c r="J613" s="104">
        <v>3.8100000000000002E-2</v>
      </c>
      <c r="K613" s="104">
        <v>8.66561319653451</v>
      </c>
    </row>
    <row r="615" spans="2:11" x14ac:dyDescent="0.3">
      <c r="B615" s="13" t="s">
        <v>70</v>
      </c>
      <c r="C615" t="s">
        <v>89</v>
      </c>
    </row>
    <row r="616" spans="2:11" ht="15" thickBot="1" x14ac:dyDescent="0.35"/>
    <row r="617" spans="2:11" x14ac:dyDescent="0.3">
      <c r="C617" s="159" t="s">
        <v>90</v>
      </c>
      <c r="D617" s="159"/>
    </row>
    <row r="618" spans="2:11" x14ac:dyDescent="0.3">
      <c r="C618" s="156" t="s">
        <v>91</v>
      </c>
      <c r="D618" s="156">
        <v>0.61993865711490992</v>
      </c>
    </row>
    <row r="619" spans="2:11" x14ac:dyDescent="0.3">
      <c r="C619" s="156" t="s">
        <v>92</v>
      </c>
      <c r="D619" s="156">
        <v>0.38432393858543784</v>
      </c>
    </row>
    <row r="620" spans="2:11" x14ac:dyDescent="0.3">
      <c r="C620" s="156" t="s">
        <v>93</v>
      </c>
      <c r="D620" s="156">
        <v>0.3737088340782902</v>
      </c>
    </row>
    <row r="621" spans="2:11" x14ac:dyDescent="0.3">
      <c r="C621" s="156" t="s">
        <v>76</v>
      </c>
      <c r="D621" s="156">
        <v>0.70316394569158569</v>
      </c>
    </row>
    <row r="622" spans="2:11" ht="15" thickBot="1" x14ac:dyDescent="0.35">
      <c r="C622" s="157" t="s">
        <v>94</v>
      </c>
      <c r="D622" s="157">
        <v>60</v>
      </c>
    </row>
    <row r="624" spans="2:11" ht="15" thickBot="1" x14ac:dyDescent="0.35">
      <c r="C624" t="s">
        <v>95</v>
      </c>
    </row>
    <row r="625" spans="3:11" x14ac:dyDescent="0.3">
      <c r="C625" s="158"/>
      <c r="D625" s="158" t="s">
        <v>100</v>
      </c>
      <c r="E625" s="158" t="s">
        <v>101</v>
      </c>
      <c r="F625" s="158" t="s">
        <v>102</v>
      </c>
      <c r="G625" s="158" t="s">
        <v>103</v>
      </c>
      <c r="H625" s="158" t="s">
        <v>104</v>
      </c>
    </row>
    <row r="626" spans="3:11" x14ac:dyDescent="0.3">
      <c r="C626" s="156" t="s">
        <v>96</v>
      </c>
      <c r="D626" s="156">
        <v>1</v>
      </c>
      <c r="E626" s="156">
        <v>17.901373384627504</v>
      </c>
      <c r="F626" s="156">
        <v>17.901373384627504</v>
      </c>
      <c r="G626" s="156">
        <v>36.205384348939326</v>
      </c>
      <c r="H626" s="156">
        <v>1.27729610819026E-7</v>
      </c>
    </row>
    <row r="627" spans="3:11" x14ac:dyDescent="0.3">
      <c r="C627" s="156" t="s">
        <v>97</v>
      </c>
      <c r="D627" s="156">
        <v>58</v>
      </c>
      <c r="E627" s="156">
        <v>28.677493002192442</v>
      </c>
      <c r="F627" s="156">
        <v>0.49443953452055933</v>
      </c>
      <c r="G627" s="156"/>
      <c r="H627" s="156"/>
    </row>
    <row r="628" spans="3:11" ht="15" thickBot="1" x14ac:dyDescent="0.35">
      <c r="C628" s="157" t="s">
        <v>98</v>
      </c>
      <c r="D628" s="157">
        <v>59</v>
      </c>
      <c r="E628" s="157">
        <v>46.578866386819946</v>
      </c>
      <c r="F628" s="157"/>
      <c r="G628" s="157"/>
      <c r="H628" s="157"/>
    </row>
    <row r="629" spans="3:11" ht="15" thickBot="1" x14ac:dyDescent="0.35"/>
    <row r="630" spans="3:11" x14ac:dyDescent="0.3">
      <c r="C630" s="158"/>
      <c r="D630" s="158" t="s">
        <v>105</v>
      </c>
      <c r="E630" s="158" t="s">
        <v>76</v>
      </c>
      <c r="F630" s="158" t="s">
        <v>106</v>
      </c>
      <c r="G630" s="158" t="s">
        <v>107</v>
      </c>
      <c r="H630" s="158" t="s">
        <v>108</v>
      </c>
      <c r="I630" s="158" t="s">
        <v>109</v>
      </c>
      <c r="J630" s="158" t="s">
        <v>110</v>
      </c>
      <c r="K630" s="158" t="s">
        <v>111</v>
      </c>
    </row>
    <row r="631" spans="3:11" x14ac:dyDescent="0.3">
      <c r="C631" s="156" t="s">
        <v>99</v>
      </c>
      <c r="D631" s="156">
        <v>7.5030509281032476</v>
      </c>
      <c r="E631" s="156">
        <v>0.16021287965540398</v>
      </c>
      <c r="F631" s="156">
        <v>46.831758746495822</v>
      </c>
      <c r="G631" s="161">
        <v>8.7732018689123002E-48</v>
      </c>
      <c r="H631" s="156">
        <v>7.1823500057117693</v>
      </c>
      <c r="I631" s="156">
        <v>7.8237518504947259</v>
      </c>
      <c r="J631" s="156">
        <v>7.1823500057117693</v>
      </c>
      <c r="K631" s="156">
        <v>7.8237518504947259</v>
      </c>
    </row>
    <row r="632" spans="3:11" ht="29.4" thickBot="1" x14ac:dyDescent="0.35">
      <c r="C632" s="160" t="s">
        <v>6</v>
      </c>
      <c r="D632" s="157">
        <v>12.888926841406368</v>
      </c>
      <c r="E632" s="157">
        <v>2.1420528287675595</v>
      </c>
      <c r="F632" s="157">
        <v>6.0170910204964807</v>
      </c>
      <c r="G632" s="162">
        <v>1.2772961081902322E-7</v>
      </c>
      <c r="H632" s="157">
        <v>8.6011422420995842</v>
      </c>
      <c r="I632" s="157">
        <v>17.176711440713152</v>
      </c>
      <c r="J632" s="157">
        <v>8.6011422420995842</v>
      </c>
      <c r="K632" s="157">
        <v>17.176711440713152</v>
      </c>
    </row>
    <row r="635" spans="3:11" hidden="1" x14ac:dyDescent="0.3">
      <c r="C635" s="13" t="s">
        <v>73</v>
      </c>
    </row>
    <row r="636" spans="3:11" hidden="1" x14ac:dyDescent="0.3">
      <c r="C636" s="104" t="s">
        <v>0</v>
      </c>
      <c r="D636" s="104" t="s">
        <v>2</v>
      </c>
      <c r="E636" s="104" t="s">
        <v>230</v>
      </c>
      <c r="F636" s="104" t="s">
        <v>229</v>
      </c>
      <c r="G636" s="104" t="s">
        <v>228</v>
      </c>
      <c r="H636" s="104" t="s">
        <v>227</v>
      </c>
      <c r="I636" s="104" t="s">
        <v>226</v>
      </c>
      <c r="J636" s="104" t="s">
        <v>6</v>
      </c>
      <c r="K636" s="104" t="s">
        <v>13</v>
      </c>
    </row>
    <row r="637" spans="3:11" hidden="1" x14ac:dyDescent="0.3">
      <c r="C637" s="104" t="s">
        <v>181</v>
      </c>
      <c r="D637" s="104" t="s">
        <v>60</v>
      </c>
      <c r="E637" s="104" t="s">
        <v>73</v>
      </c>
      <c r="F637" s="104">
        <v>2800</v>
      </c>
      <c r="G637" s="104"/>
      <c r="H637" s="104">
        <v>480</v>
      </c>
      <c r="I637" s="104">
        <v>0</v>
      </c>
      <c r="J637" s="104">
        <v>6.88E-2</v>
      </c>
      <c r="K637" s="104">
        <v>7.9373746961632952</v>
      </c>
    </row>
    <row r="638" spans="3:11" hidden="1" x14ac:dyDescent="0.3">
      <c r="C638" s="104" t="s">
        <v>182</v>
      </c>
      <c r="D638" s="104" t="s">
        <v>60</v>
      </c>
      <c r="E638" s="104" t="s">
        <v>73</v>
      </c>
      <c r="F638" s="104">
        <v>5200</v>
      </c>
      <c r="G638" s="104">
        <v>2400</v>
      </c>
      <c r="H638" s="104">
        <v>620</v>
      </c>
      <c r="I638" s="104">
        <v>3.870967741935484</v>
      </c>
      <c r="J638" s="104">
        <v>7.8200000000000006E-2</v>
      </c>
      <c r="K638" s="104">
        <v>8.5564139045695189</v>
      </c>
    </row>
    <row r="639" spans="3:11" hidden="1" x14ac:dyDescent="0.3">
      <c r="C639" s="104" t="s">
        <v>183</v>
      </c>
      <c r="D639" s="104" t="s">
        <v>60</v>
      </c>
      <c r="E639" s="104" t="s">
        <v>73</v>
      </c>
      <c r="F639" s="104">
        <v>12000</v>
      </c>
      <c r="G639" s="104">
        <v>6800</v>
      </c>
      <c r="H639" s="104">
        <v>780</v>
      </c>
      <c r="I639" s="104">
        <v>8.7179487179487172</v>
      </c>
      <c r="J639" s="104">
        <v>8.8499999999999995E-2</v>
      </c>
      <c r="K639" s="104">
        <v>9.3926619287701367</v>
      </c>
    </row>
    <row r="640" spans="3:11" hidden="1" x14ac:dyDescent="0.3">
      <c r="C640" s="104" t="s">
        <v>184</v>
      </c>
      <c r="D640" s="104" t="s">
        <v>60</v>
      </c>
      <c r="E640" s="104" t="s">
        <v>73</v>
      </c>
      <c r="F640" s="104">
        <v>42000</v>
      </c>
      <c r="G640" s="104">
        <v>30000</v>
      </c>
      <c r="H640" s="104">
        <v>920</v>
      </c>
      <c r="I640" s="104">
        <v>32.608695652173914</v>
      </c>
      <c r="J640" s="104">
        <v>9.8500000000000004E-2</v>
      </c>
      <c r="K640" s="104">
        <v>10.645424897265505</v>
      </c>
    </row>
    <row r="641" spans="3:11" hidden="1" x14ac:dyDescent="0.3">
      <c r="C641" s="104" t="s">
        <v>185</v>
      </c>
      <c r="D641" s="104" t="s">
        <v>60</v>
      </c>
      <c r="E641" s="104" t="s">
        <v>73</v>
      </c>
      <c r="F641" s="104">
        <v>45000</v>
      </c>
      <c r="G641" s="104">
        <v>3000</v>
      </c>
      <c r="H641" s="104">
        <v>1050</v>
      </c>
      <c r="I641" s="104">
        <v>2.8571428571428572</v>
      </c>
      <c r="J641" s="104">
        <v>0.1052</v>
      </c>
      <c r="K641" s="104">
        <v>10.714417768752456</v>
      </c>
    </row>
    <row r="642" spans="3:11" hidden="1" x14ac:dyDescent="0.3">
      <c r="C642" s="104" t="s">
        <v>186</v>
      </c>
      <c r="D642" s="104" t="s">
        <v>60</v>
      </c>
      <c r="E642" s="104" t="s">
        <v>73</v>
      </c>
      <c r="F642" s="104">
        <v>98000</v>
      </c>
      <c r="G642" s="104">
        <v>53000</v>
      </c>
      <c r="H642" s="104">
        <v>1120</v>
      </c>
      <c r="I642" s="104">
        <v>47.321428571428569</v>
      </c>
      <c r="J642" s="104">
        <v>0.1125</v>
      </c>
      <c r="K642" s="104">
        <v>11.492722757652709</v>
      </c>
    </row>
    <row r="643" spans="3:11" hidden="1" x14ac:dyDescent="0.3">
      <c r="C643" s="104" t="s">
        <v>14</v>
      </c>
      <c r="D643" s="104" t="s">
        <v>60</v>
      </c>
      <c r="E643" s="104" t="s">
        <v>73</v>
      </c>
      <c r="F643" s="104">
        <v>247345.02000000002</v>
      </c>
      <c r="G643" s="104">
        <v>149345.02000000002</v>
      </c>
      <c r="H643" s="104">
        <v>1200</v>
      </c>
      <c r="I643" s="104">
        <v>124.45418333333335</v>
      </c>
      <c r="J643" s="104">
        <v>0.15791551519936833</v>
      </c>
      <c r="K643" s="104">
        <v>12.418539483038984</v>
      </c>
    </row>
    <row r="644" spans="3:11" hidden="1" x14ac:dyDescent="0.3">
      <c r="C644" s="104" t="s">
        <v>64</v>
      </c>
      <c r="D644" s="104" t="s">
        <v>60</v>
      </c>
      <c r="E644" s="104" t="s">
        <v>73</v>
      </c>
      <c r="F644" s="104">
        <v>95435.145000000004</v>
      </c>
      <c r="G644" s="104">
        <v>-151909.875</v>
      </c>
      <c r="H644" s="104">
        <v>1150</v>
      </c>
      <c r="I644" s="104">
        <v>-132.09554347826088</v>
      </c>
      <c r="J644" s="104">
        <v>0.1762722256284488</v>
      </c>
      <c r="K644" s="104">
        <v>11.466202185821563</v>
      </c>
    </row>
    <row r="645" spans="3:11" hidden="1" x14ac:dyDescent="0.3">
      <c r="C645" s="104" t="s">
        <v>65</v>
      </c>
      <c r="D645" s="104" t="s">
        <v>60</v>
      </c>
      <c r="E645" s="104" t="s">
        <v>73</v>
      </c>
      <c r="F645" s="104">
        <v>102061.44</v>
      </c>
      <c r="G645" s="104">
        <v>6626.2949999999983</v>
      </c>
      <c r="H645" s="104">
        <v>689</v>
      </c>
      <c r="I645" s="104">
        <v>9.6172641509433934</v>
      </c>
      <c r="J645" s="104">
        <v>0.12224982256919802</v>
      </c>
      <c r="K645" s="104">
        <v>11.533330263865869</v>
      </c>
    </row>
    <row r="646" spans="3:11" hidden="1" x14ac:dyDescent="0.3">
      <c r="C646" s="104" t="s">
        <v>66</v>
      </c>
      <c r="D646" s="104" t="s">
        <v>60</v>
      </c>
      <c r="E646" s="104" t="s">
        <v>73</v>
      </c>
      <c r="F646" s="104">
        <v>66207.960000000006</v>
      </c>
      <c r="G646" s="104">
        <v>-35853.479999999996</v>
      </c>
      <c r="H646" s="104">
        <v>835</v>
      </c>
      <c r="I646" s="104">
        <v>-42.938299401197597</v>
      </c>
      <c r="J646" s="104">
        <v>0.18853014224429893</v>
      </c>
      <c r="K646" s="104">
        <v>11.10055597638849</v>
      </c>
    </row>
    <row r="647" spans="3:11" hidden="1" x14ac:dyDescent="0.3">
      <c r="C647" s="104" t="s">
        <v>181</v>
      </c>
      <c r="D647" s="104" t="s">
        <v>62</v>
      </c>
      <c r="E647" s="104" t="s">
        <v>73</v>
      </c>
      <c r="F647" s="104">
        <v>35000</v>
      </c>
      <c r="G647" s="104"/>
      <c r="H647" s="104">
        <v>1850</v>
      </c>
      <c r="I647" s="104">
        <v>0</v>
      </c>
      <c r="J647" s="104">
        <v>4.4200000000000003E-2</v>
      </c>
      <c r="K647" s="104">
        <v>10.46310334047155</v>
      </c>
    </row>
    <row r="648" spans="3:11" hidden="1" x14ac:dyDescent="0.3">
      <c r="C648" s="104" t="s">
        <v>182</v>
      </c>
      <c r="D648" s="104" t="s">
        <v>62</v>
      </c>
      <c r="E648" s="104" t="s">
        <v>73</v>
      </c>
      <c r="F648" s="104">
        <v>38000</v>
      </c>
      <c r="G648" s="104">
        <v>3000</v>
      </c>
      <c r="H648" s="104">
        <v>2050</v>
      </c>
      <c r="I648" s="104">
        <v>1.4634146341463414</v>
      </c>
      <c r="J648" s="104">
        <v>4.6800000000000001E-2</v>
      </c>
      <c r="K648" s="104">
        <v>10.545341438708522</v>
      </c>
    </row>
    <row r="649" spans="3:11" hidden="1" x14ac:dyDescent="0.3">
      <c r="C649" s="104" t="s">
        <v>183</v>
      </c>
      <c r="D649" s="104" t="s">
        <v>62</v>
      </c>
      <c r="E649" s="104" t="s">
        <v>73</v>
      </c>
      <c r="F649" s="104">
        <v>42000</v>
      </c>
      <c r="G649" s="104">
        <v>4000</v>
      </c>
      <c r="H649" s="104">
        <v>2250</v>
      </c>
      <c r="I649" s="104">
        <v>1.7777777777777777</v>
      </c>
      <c r="J649" s="104">
        <v>4.9500000000000002E-2</v>
      </c>
      <c r="K649" s="104">
        <v>10.645424897265505</v>
      </c>
    </row>
    <row r="650" spans="3:11" hidden="1" x14ac:dyDescent="0.3">
      <c r="C650" s="104" t="s">
        <v>184</v>
      </c>
      <c r="D650" s="104" t="s">
        <v>62</v>
      </c>
      <c r="E650" s="104" t="s">
        <v>73</v>
      </c>
      <c r="F650" s="104">
        <v>48000</v>
      </c>
      <c r="G650" s="104">
        <v>6000</v>
      </c>
      <c r="H650" s="104">
        <v>2450</v>
      </c>
      <c r="I650" s="104">
        <v>2.4489795918367347</v>
      </c>
      <c r="J650" s="104">
        <v>5.2200000000000003E-2</v>
      </c>
      <c r="K650" s="104">
        <v>10.778956289890028</v>
      </c>
    </row>
    <row r="651" spans="3:11" hidden="1" x14ac:dyDescent="0.3">
      <c r="C651" s="104" t="s">
        <v>185</v>
      </c>
      <c r="D651" s="104" t="s">
        <v>62</v>
      </c>
      <c r="E651" s="104" t="s">
        <v>73</v>
      </c>
      <c r="F651" s="104">
        <v>38000</v>
      </c>
      <c r="G651" s="104">
        <v>-10000</v>
      </c>
      <c r="H651" s="104">
        <v>2620</v>
      </c>
      <c r="I651" s="104">
        <v>-3.8167938931297711</v>
      </c>
      <c r="J651" s="104">
        <v>5.4800000000000001E-2</v>
      </c>
      <c r="K651" s="104">
        <v>10.545341438708522</v>
      </c>
    </row>
    <row r="652" spans="3:11" hidden="1" x14ac:dyDescent="0.3">
      <c r="C652" s="104" t="s">
        <v>186</v>
      </c>
      <c r="D652" s="104" t="s">
        <v>62</v>
      </c>
      <c r="E652" s="104" t="s">
        <v>73</v>
      </c>
      <c r="F652" s="104">
        <v>42000</v>
      </c>
      <c r="G652" s="104">
        <v>4000</v>
      </c>
      <c r="H652" s="104">
        <v>2780</v>
      </c>
      <c r="I652" s="104">
        <v>1.4388489208633093</v>
      </c>
      <c r="J652" s="104">
        <v>5.62E-2</v>
      </c>
      <c r="K652" s="104">
        <v>10.645424897265505</v>
      </c>
    </row>
    <row r="653" spans="3:11" hidden="1" x14ac:dyDescent="0.3">
      <c r="C653" s="104" t="s">
        <v>14</v>
      </c>
      <c r="D653" s="104" t="s">
        <v>62</v>
      </c>
      <c r="E653" s="104" t="s">
        <v>73</v>
      </c>
      <c r="F653" s="104">
        <v>59800</v>
      </c>
      <c r="G653" s="104">
        <v>17800</v>
      </c>
      <c r="H653" s="104">
        <v>2928.7</v>
      </c>
      <c r="I653" s="104">
        <v>6.0777819510362967</v>
      </c>
      <c r="J653" s="104">
        <v>6.1055286857905268E-2</v>
      </c>
      <c r="K653" s="104">
        <v>10.998760939938723</v>
      </c>
    </row>
    <row r="654" spans="3:11" hidden="1" x14ac:dyDescent="0.3">
      <c r="C654" s="104" t="s">
        <v>64</v>
      </c>
      <c r="D654" s="104" t="s">
        <v>62</v>
      </c>
      <c r="E654" s="104" t="s">
        <v>73</v>
      </c>
      <c r="F654" s="104">
        <v>38500</v>
      </c>
      <c r="G654" s="104">
        <v>-21300</v>
      </c>
      <c r="H654" s="104">
        <v>4121</v>
      </c>
      <c r="I654" s="104">
        <v>-5.1686483863140014</v>
      </c>
      <c r="J654" s="104">
        <v>8.8486644335652329E-2</v>
      </c>
      <c r="K654" s="104">
        <v>10.558413520275876</v>
      </c>
    </row>
    <row r="655" spans="3:11" hidden="1" x14ac:dyDescent="0.3">
      <c r="C655" s="104" t="s">
        <v>65</v>
      </c>
      <c r="D655" s="104" t="s">
        <v>62</v>
      </c>
      <c r="E655" s="104" t="s">
        <v>73</v>
      </c>
      <c r="F655" s="104">
        <v>78500</v>
      </c>
      <c r="G655" s="104">
        <v>40000</v>
      </c>
      <c r="H655" s="104">
        <v>5967.5</v>
      </c>
      <c r="I655" s="104">
        <v>6.7029744449099287</v>
      </c>
      <c r="J655" s="104">
        <v>0.10681427650891387</v>
      </c>
      <c r="K655" s="104">
        <v>11.270853903770499</v>
      </c>
    </row>
    <row r="656" spans="3:11" hidden="1" x14ac:dyDescent="0.3">
      <c r="C656" s="104" t="s">
        <v>66</v>
      </c>
      <c r="D656" s="104" t="s">
        <v>62</v>
      </c>
      <c r="E656" s="104" t="s">
        <v>73</v>
      </c>
      <c r="F656" s="104">
        <v>95700</v>
      </c>
      <c r="G656" s="104">
        <v>17200</v>
      </c>
      <c r="H656" s="104">
        <v>6869.9</v>
      </c>
      <c r="I656" s="104">
        <v>2.5036754537911761</v>
      </c>
      <c r="J656" s="104">
        <v>0.108756015704154</v>
      </c>
      <c r="K656" s="104">
        <v>11.468973577441046</v>
      </c>
    </row>
    <row r="658" spans="2:8" x14ac:dyDescent="0.3">
      <c r="B658" s="13" t="s">
        <v>73</v>
      </c>
      <c r="C658" t="s">
        <v>89</v>
      </c>
    </row>
    <row r="659" spans="2:8" ht="15" thickBot="1" x14ac:dyDescent="0.35"/>
    <row r="660" spans="2:8" x14ac:dyDescent="0.3">
      <c r="C660" s="159" t="s">
        <v>90</v>
      </c>
      <c r="D660" s="159"/>
    </row>
    <row r="661" spans="2:8" x14ac:dyDescent="0.3">
      <c r="C661" s="156" t="s">
        <v>91</v>
      </c>
      <c r="D661" s="156">
        <v>0.47196353616903586</v>
      </c>
    </row>
    <row r="662" spans="2:8" x14ac:dyDescent="0.3">
      <c r="C662" s="156" t="s">
        <v>92</v>
      </c>
      <c r="D662" s="156">
        <v>0.2227495794731808</v>
      </c>
    </row>
    <row r="663" spans="2:8" x14ac:dyDescent="0.3">
      <c r="C663" s="156" t="s">
        <v>93</v>
      </c>
      <c r="D663" s="156">
        <v>0.1795690005550242</v>
      </c>
    </row>
    <row r="664" spans="2:8" x14ac:dyDescent="0.3">
      <c r="C664" s="156" t="s">
        <v>76</v>
      </c>
      <c r="D664" s="156">
        <v>0.93097831252549312</v>
      </c>
    </row>
    <row r="665" spans="2:8" ht="15" thickBot="1" x14ac:dyDescent="0.35">
      <c r="C665" s="157" t="s">
        <v>94</v>
      </c>
      <c r="D665" s="157">
        <v>20</v>
      </c>
    </row>
    <row r="667" spans="2:8" ht="15" thickBot="1" x14ac:dyDescent="0.35">
      <c r="C667" t="s">
        <v>95</v>
      </c>
    </row>
    <row r="668" spans="2:8" x14ac:dyDescent="0.3">
      <c r="C668" s="158"/>
      <c r="D668" s="158" t="s">
        <v>100</v>
      </c>
      <c r="E668" s="158" t="s">
        <v>101</v>
      </c>
      <c r="F668" s="158" t="s">
        <v>102</v>
      </c>
      <c r="G668" s="158" t="s">
        <v>103</v>
      </c>
      <c r="H668" s="158" t="s">
        <v>104</v>
      </c>
    </row>
    <row r="669" spans="2:8" x14ac:dyDescent="0.3">
      <c r="C669" s="156" t="s">
        <v>96</v>
      </c>
      <c r="D669" s="156">
        <v>1</v>
      </c>
      <c r="E669" s="156">
        <v>4.4710297570039277</v>
      </c>
      <c r="F669" s="156">
        <v>4.4710297570039277</v>
      </c>
      <c r="G669" s="156">
        <v>5.1585593582562836</v>
      </c>
      <c r="H669" s="156">
        <v>3.5638747086396284E-2</v>
      </c>
    </row>
    <row r="670" spans="2:8" x14ac:dyDescent="0.3">
      <c r="C670" s="156" t="s">
        <v>97</v>
      </c>
      <c r="D670" s="156">
        <v>18</v>
      </c>
      <c r="E670" s="156">
        <v>15.600971131070667</v>
      </c>
      <c r="F670" s="156">
        <v>0.86672061839281478</v>
      </c>
      <c r="G670" s="156"/>
      <c r="H670" s="156"/>
    </row>
    <row r="671" spans="2:8" ht="15" thickBot="1" x14ac:dyDescent="0.35">
      <c r="C671" s="157" t="s">
        <v>98</v>
      </c>
      <c r="D671" s="157">
        <v>19</v>
      </c>
      <c r="E671" s="157">
        <v>20.072000888074594</v>
      </c>
      <c r="F671" s="157"/>
      <c r="G671" s="157"/>
      <c r="H671" s="157"/>
    </row>
    <row r="672" spans="2:8" ht="15" thickBot="1" x14ac:dyDescent="0.35"/>
    <row r="673" spans="3:11" x14ac:dyDescent="0.3">
      <c r="C673" s="158"/>
      <c r="D673" s="158" t="s">
        <v>105</v>
      </c>
      <c r="E673" s="158" t="s">
        <v>76</v>
      </c>
      <c r="F673" s="158" t="s">
        <v>106</v>
      </c>
      <c r="G673" s="158" t="s">
        <v>107</v>
      </c>
      <c r="H673" s="158" t="s">
        <v>108</v>
      </c>
      <c r="I673" s="158" t="s">
        <v>109</v>
      </c>
      <c r="J673" s="158" t="s">
        <v>110</v>
      </c>
      <c r="K673" s="158" t="s">
        <v>111</v>
      </c>
    </row>
    <row r="674" spans="3:11" x14ac:dyDescent="0.3">
      <c r="C674" s="156" t="s">
        <v>99</v>
      </c>
      <c r="D674" s="156">
        <v>9.6028638666753992</v>
      </c>
      <c r="E674" s="156">
        <v>0.50943859397984181</v>
      </c>
      <c r="F674" s="156">
        <v>18.849894727558429</v>
      </c>
      <c r="G674" s="156">
        <v>2.6708444126923021E-13</v>
      </c>
      <c r="H674" s="156">
        <v>8.5325730964337438</v>
      </c>
      <c r="I674" s="156">
        <v>10.673154636917054</v>
      </c>
      <c r="J674" s="156">
        <v>8.5325730964337438</v>
      </c>
      <c r="K674" s="156">
        <v>10.673154636917054</v>
      </c>
    </row>
    <row r="675" spans="3:11" ht="29.4" thickBot="1" x14ac:dyDescent="0.35">
      <c r="C675" s="160" t="s">
        <v>6</v>
      </c>
      <c r="D675" s="157">
        <v>11.321998400323471</v>
      </c>
      <c r="E675" s="157">
        <v>4.9849278063762084</v>
      </c>
      <c r="F675" s="157">
        <v>2.2712462126014206</v>
      </c>
      <c r="G675" s="157">
        <v>3.5638747086396E-2</v>
      </c>
      <c r="H675" s="157">
        <v>0.84905370289728666</v>
      </c>
      <c r="I675" s="157">
        <v>21.794943097749655</v>
      </c>
      <c r="J675" s="157">
        <v>0.84905370289728666</v>
      </c>
      <c r="K675" s="157">
        <v>21.794943097749655</v>
      </c>
    </row>
    <row r="677" spans="3:11" x14ac:dyDescent="0.3">
      <c r="C677" s="13" t="s">
        <v>72</v>
      </c>
    </row>
    <row r="678" spans="3:11" hidden="1" x14ac:dyDescent="0.3">
      <c r="C678" s="104" t="s">
        <v>0</v>
      </c>
      <c r="D678" s="104" t="s">
        <v>2</v>
      </c>
      <c r="E678" s="104" t="s">
        <v>230</v>
      </c>
      <c r="F678" s="104" t="s">
        <v>229</v>
      </c>
      <c r="G678" s="104" t="s">
        <v>228</v>
      </c>
      <c r="H678" s="104" t="s">
        <v>227</v>
      </c>
      <c r="I678" s="104" t="s">
        <v>226</v>
      </c>
      <c r="J678" s="104" t="s">
        <v>6</v>
      </c>
      <c r="K678" s="104" t="s">
        <v>13</v>
      </c>
    </row>
    <row r="679" spans="3:11" hidden="1" x14ac:dyDescent="0.3">
      <c r="C679" s="104" t="s">
        <v>181</v>
      </c>
      <c r="D679" s="104" t="s">
        <v>52</v>
      </c>
      <c r="E679" s="104" t="s">
        <v>72</v>
      </c>
      <c r="F679" s="104">
        <v>1850</v>
      </c>
      <c r="G679" s="104"/>
      <c r="H679" s="104">
        <v>80</v>
      </c>
      <c r="I679" s="104">
        <v>0</v>
      </c>
      <c r="J679" s="104">
        <v>2.7199999999999998E-2</v>
      </c>
      <c r="K679" s="104">
        <v>7.5229409180723703</v>
      </c>
    </row>
    <row r="680" spans="3:11" hidden="1" x14ac:dyDescent="0.3">
      <c r="C680" s="104" t="s">
        <v>182</v>
      </c>
      <c r="D680" s="104" t="s">
        <v>52</v>
      </c>
      <c r="E680" s="104" t="s">
        <v>72</v>
      </c>
      <c r="F680" s="104">
        <v>2200</v>
      </c>
      <c r="G680" s="104">
        <v>350</v>
      </c>
      <c r="H680" s="104">
        <v>88</v>
      </c>
      <c r="I680" s="104">
        <v>3.9772727272727271</v>
      </c>
      <c r="J680" s="104">
        <v>2.8799999999999999E-2</v>
      </c>
      <c r="K680" s="104">
        <v>7.696212639346407</v>
      </c>
    </row>
    <row r="681" spans="3:11" hidden="1" x14ac:dyDescent="0.3">
      <c r="C681" s="104" t="s">
        <v>183</v>
      </c>
      <c r="D681" s="104" t="s">
        <v>52</v>
      </c>
      <c r="E681" s="104" t="s">
        <v>72</v>
      </c>
      <c r="F681" s="104">
        <v>3500</v>
      </c>
      <c r="G681" s="104">
        <v>1300</v>
      </c>
      <c r="H681" s="104">
        <v>96</v>
      </c>
      <c r="I681" s="104">
        <v>13.541666666666666</v>
      </c>
      <c r="J681" s="104">
        <v>3.0499999999999999E-2</v>
      </c>
      <c r="K681" s="104">
        <v>8.1605182474775049</v>
      </c>
    </row>
    <row r="682" spans="3:11" hidden="1" x14ac:dyDescent="0.3">
      <c r="C682" s="104" t="s">
        <v>184</v>
      </c>
      <c r="D682" s="104" t="s">
        <v>52</v>
      </c>
      <c r="E682" s="104" t="s">
        <v>72</v>
      </c>
      <c r="F682" s="104">
        <v>2800</v>
      </c>
      <c r="G682" s="104">
        <v>-700</v>
      </c>
      <c r="H682" s="104">
        <v>104</v>
      </c>
      <c r="I682" s="104">
        <v>-6.7307692307692308</v>
      </c>
      <c r="J682" s="104">
        <v>3.1800000000000002E-2</v>
      </c>
      <c r="K682" s="104">
        <v>7.9373746961632952</v>
      </c>
    </row>
    <row r="683" spans="3:11" hidden="1" x14ac:dyDescent="0.3">
      <c r="C683" s="104" t="s">
        <v>185</v>
      </c>
      <c r="D683" s="104" t="s">
        <v>52</v>
      </c>
      <c r="E683" s="104" t="s">
        <v>72</v>
      </c>
      <c r="F683" s="104">
        <v>1600</v>
      </c>
      <c r="G683" s="104">
        <v>-1200</v>
      </c>
      <c r="H683" s="104">
        <v>110</v>
      </c>
      <c r="I683" s="104">
        <v>-10.909090909090908</v>
      </c>
      <c r="J683" s="104">
        <v>3.2800000000000003E-2</v>
      </c>
      <c r="K683" s="104">
        <v>7.3777589082278725</v>
      </c>
    </row>
    <row r="684" spans="3:11" hidden="1" x14ac:dyDescent="0.3">
      <c r="C684" s="104" t="s">
        <v>186</v>
      </c>
      <c r="D684" s="104" t="s">
        <v>52</v>
      </c>
      <c r="E684" s="104" t="s">
        <v>72</v>
      </c>
      <c r="F684" s="104">
        <v>1800</v>
      </c>
      <c r="G684" s="104">
        <v>200</v>
      </c>
      <c r="H684" s="104">
        <v>115</v>
      </c>
      <c r="I684" s="104">
        <v>1.7391304347826086</v>
      </c>
      <c r="J684" s="104">
        <v>3.32E-2</v>
      </c>
      <c r="K684" s="104">
        <v>7.4955419438842563</v>
      </c>
    </row>
    <row r="685" spans="3:11" hidden="1" x14ac:dyDescent="0.3">
      <c r="C685" s="104" t="s">
        <v>14</v>
      </c>
      <c r="D685" s="104" t="s">
        <v>52</v>
      </c>
      <c r="E685" s="104" t="s">
        <v>72</v>
      </c>
      <c r="F685" s="104">
        <v>2350</v>
      </c>
      <c r="G685" s="104">
        <v>550</v>
      </c>
      <c r="H685" s="104">
        <v>123</v>
      </c>
      <c r="I685" s="104">
        <v>4.4715447154471546</v>
      </c>
      <c r="J685" s="104">
        <v>3.3700000000000001E-2</v>
      </c>
      <c r="K685" s="104">
        <v>7.7621706071382048</v>
      </c>
    </row>
    <row r="686" spans="3:11" hidden="1" x14ac:dyDescent="0.3">
      <c r="C686" s="104" t="s">
        <v>64</v>
      </c>
      <c r="D686" s="104" t="s">
        <v>52</v>
      </c>
      <c r="E686" s="104" t="s">
        <v>72</v>
      </c>
      <c r="F686" s="104">
        <v>3352</v>
      </c>
      <c r="G686" s="104">
        <v>1002</v>
      </c>
      <c r="H686" s="104">
        <v>169</v>
      </c>
      <c r="I686" s="104">
        <v>5.9289940828402363</v>
      </c>
      <c r="J686" s="104">
        <v>3.7199999999999997E-2</v>
      </c>
      <c r="K686" s="104">
        <v>8.1173124616019745</v>
      </c>
    </row>
    <row r="687" spans="3:11" hidden="1" x14ac:dyDescent="0.3">
      <c r="C687" s="104" t="s">
        <v>65</v>
      </c>
      <c r="D687" s="104" t="s">
        <v>52</v>
      </c>
      <c r="E687" s="104" t="s">
        <v>72</v>
      </c>
      <c r="F687" s="104">
        <v>4558</v>
      </c>
      <c r="G687" s="104">
        <v>1206</v>
      </c>
      <c r="H687" s="104">
        <v>180</v>
      </c>
      <c r="I687" s="104">
        <v>6.7</v>
      </c>
      <c r="J687" s="104">
        <v>4.2200000000000001E-2</v>
      </c>
      <c r="K687" s="104">
        <v>8.4246392098056297</v>
      </c>
    </row>
    <row r="688" spans="3:11" hidden="1" x14ac:dyDescent="0.3">
      <c r="C688" s="104" t="s">
        <v>66</v>
      </c>
      <c r="D688" s="104" t="s">
        <v>52</v>
      </c>
      <c r="E688" s="104" t="s">
        <v>72</v>
      </c>
      <c r="F688" s="104">
        <v>4000</v>
      </c>
      <c r="G688" s="104">
        <v>-558</v>
      </c>
      <c r="H688" s="104">
        <v>195</v>
      </c>
      <c r="I688" s="104">
        <v>-2.8615384615384616</v>
      </c>
      <c r="J688" s="104">
        <v>4.41E-2</v>
      </c>
      <c r="K688" s="104">
        <v>8.2940496401020276</v>
      </c>
    </row>
    <row r="690" spans="2:8" x14ac:dyDescent="0.3">
      <c r="B690" s="13" t="s">
        <v>72</v>
      </c>
      <c r="C690" t="s">
        <v>89</v>
      </c>
    </row>
    <row r="691" spans="2:8" ht="15" thickBot="1" x14ac:dyDescent="0.35"/>
    <row r="692" spans="2:8" x14ac:dyDescent="0.3">
      <c r="C692" s="159" t="s">
        <v>90</v>
      </c>
      <c r="D692" s="159"/>
    </row>
    <row r="693" spans="2:8" x14ac:dyDescent="0.3">
      <c r="C693" s="156" t="s">
        <v>91</v>
      </c>
      <c r="D693" s="156">
        <v>0.70478652040697209</v>
      </c>
    </row>
    <row r="694" spans="2:8" x14ac:dyDescent="0.3">
      <c r="C694" s="156" t="s">
        <v>92</v>
      </c>
      <c r="D694" s="156">
        <v>0.49672403934736736</v>
      </c>
    </row>
    <row r="695" spans="2:8" x14ac:dyDescent="0.3">
      <c r="C695" s="156" t="s">
        <v>93</v>
      </c>
      <c r="D695" s="156">
        <v>0.43381454426578825</v>
      </c>
    </row>
    <row r="696" spans="2:8" x14ac:dyDescent="0.3">
      <c r="C696" s="156" t="s">
        <v>76</v>
      </c>
      <c r="D696" s="156">
        <v>0.27263800421071432</v>
      </c>
    </row>
    <row r="697" spans="2:8" ht="15" thickBot="1" x14ac:dyDescent="0.35">
      <c r="C697" s="157" t="s">
        <v>94</v>
      </c>
      <c r="D697" s="157">
        <v>10</v>
      </c>
    </row>
    <row r="699" spans="2:8" ht="15" thickBot="1" x14ac:dyDescent="0.35">
      <c r="C699" t="s">
        <v>95</v>
      </c>
    </row>
    <row r="700" spans="2:8" x14ac:dyDescent="0.3">
      <c r="C700" s="158"/>
      <c r="D700" s="158" t="s">
        <v>100</v>
      </c>
      <c r="E700" s="158" t="s">
        <v>101</v>
      </c>
      <c r="F700" s="158" t="s">
        <v>102</v>
      </c>
      <c r="G700" s="158" t="s">
        <v>103</v>
      </c>
      <c r="H700" s="158" t="s">
        <v>104</v>
      </c>
    </row>
    <row r="701" spans="2:8" x14ac:dyDescent="0.3">
      <c r="C701" s="156" t="s">
        <v>96</v>
      </c>
      <c r="D701" s="156">
        <v>1</v>
      </c>
      <c r="E701" s="156">
        <v>0.58691034817557175</v>
      </c>
      <c r="F701" s="156">
        <v>0.58691034817557175</v>
      </c>
      <c r="G701" s="156">
        <v>7.8958516310332971</v>
      </c>
      <c r="H701" s="156">
        <v>2.2844616428761483E-2</v>
      </c>
    </row>
    <row r="702" spans="2:8" x14ac:dyDescent="0.3">
      <c r="C702" s="156" t="s">
        <v>97</v>
      </c>
      <c r="D702" s="156">
        <v>8</v>
      </c>
      <c r="E702" s="156">
        <v>0.59465185072001181</v>
      </c>
      <c r="F702" s="156">
        <v>7.4331481340001476E-2</v>
      </c>
      <c r="G702" s="156"/>
      <c r="H702" s="156"/>
    </row>
    <row r="703" spans="2:8" ht="15" thickBot="1" x14ac:dyDescent="0.35">
      <c r="C703" s="157" t="s">
        <v>98</v>
      </c>
      <c r="D703" s="157">
        <v>9</v>
      </c>
      <c r="E703" s="157">
        <v>1.1815621988955836</v>
      </c>
      <c r="F703" s="157"/>
      <c r="G703" s="157"/>
      <c r="H703" s="157"/>
    </row>
    <row r="704" spans="2:8" ht="15" thickBot="1" x14ac:dyDescent="0.35"/>
    <row r="705" spans="3:11" x14ac:dyDescent="0.3">
      <c r="C705" s="158"/>
      <c r="D705" s="158" t="s">
        <v>105</v>
      </c>
      <c r="E705" s="158" t="s">
        <v>76</v>
      </c>
      <c r="F705" s="158" t="s">
        <v>106</v>
      </c>
      <c r="G705" s="158" t="s">
        <v>107</v>
      </c>
      <c r="H705" s="158" t="s">
        <v>108</v>
      </c>
      <c r="I705" s="158" t="s">
        <v>109</v>
      </c>
      <c r="J705" s="158" t="s">
        <v>110</v>
      </c>
      <c r="K705" s="158" t="s">
        <v>111</v>
      </c>
    </row>
    <row r="706" spans="3:11" x14ac:dyDescent="0.3">
      <c r="C706" s="156" t="s">
        <v>99</v>
      </c>
      <c r="D706" s="156">
        <v>6.2919581003833152</v>
      </c>
      <c r="E706" s="156">
        <v>0.5712829146086591</v>
      </c>
      <c r="F706" s="156">
        <v>11.013734070260861</v>
      </c>
      <c r="G706" s="19">
        <v>4.1099246632553902E-6</v>
      </c>
      <c r="H706" s="156">
        <v>4.9745773369242583</v>
      </c>
      <c r="I706" s="156">
        <v>7.609338863842372</v>
      </c>
      <c r="J706" s="156">
        <v>4.9745773369242583</v>
      </c>
      <c r="K706" s="156">
        <v>7.609338863842372</v>
      </c>
    </row>
    <row r="707" spans="3:11" ht="29.4" thickBot="1" x14ac:dyDescent="0.35">
      <c r="C707" s="160" t="s">
        <v>6</v>
      </c>
      <c r="D707" s="157">
        <v>46.468340462624901</v>
      </c>
      <c r="E707" s="157">
        <v>16.537036050633034</v>
      </c>
      <c r="F707" s="157">
        <v>2.8099558058861525</v>
      </c>
      <c r="G707" s="20">
        <v>2.2844616428761483E-2</v>
      </c>
      <c r="H707" s="157">
        <v>8.3338669458447328</v>
      </c>
      <c r="I707" s="157">
        <v>84.60281397940507</v>
      </c>
      <c r="J707" s="157">
        <v>8.3338669458447328</v>
      </c>
      <c r="K707" s="157">
        <v>84.60281397940507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4B90-5AB7-44B5-AE1D-0FC24FE697BD}">
  <dimension ref="E13:K20"/>
  <sheetViews>
    <sheetView topLeftCell="F1" workbookViewId="0">
      <selection activeCell="K8" sqref="K8"/>
    </sheetView>
  </sheetViews>
  <sheetFormatPr defaultRowHeight="14.4" x14ac:dyDescent="0.3"/>
  <cols>
    <col min="5" max="5" width="20.5546875" customWidth="1"/>
    <col min="6" max="6" width="23.6640625" customWidth="1"/>
    <col min="7" max="7" width="39.77734375" customWidth="1"/>
    <col min="9" max="9" width="23.44140625" customWidth="1"/>
    <col min="10" max="10" width="22.5546875" customWidth="1"/>
    <col min="11" max="11" width="52.77734375" customWidth="1"/>
  </cols>
  <sheetData>
    <row r="13" spans="5:11" x14ac:dyDescent="0.3">
      <c r="E13" s="54" t="s">
        <v>139</v>
      </c>
      <c r="F13" s="54" t="s">
        <v>137</v>
      </c>
      <c r="G13" s="55" t="s">
        <v>142</v>
      </c>
      <c r="I13" s="52" t="s">
        <v>139</v>
      </c>
      <c r="J13" s="52" t="s">
        <v>137</v>
      </c>
      <c r="K13" s="52" t="s">
        <v>142</v>
      </c>
    </row>
    <row r="14" spans="5:11" ht="43.2" x14ac:dyDescent="0.3">
      <c r="E14" s="56" t="s">
        <v>155</v>
      </c>
      <c r="F14" s="56" t="s">
        <v>138</v>
      </c>
      <c r="G14" s="56" t="s">
        <v>156</v>
      </c>
      <c r="I14" s="53" t="s">
        <v>161</v>
      </c>
      <c r="J14" s="53" t="s">
        <v>162</v>
      </c>
      <c r="K14" s="53" t="s">
        <v>163</v>
      </c>
    </row>
    <row r="15" spans="5:11" ht="43.2" x14ac:dyDescent="0.3">
      <c r="E15" s="56" t="s">
        <v>140</v>
      </c>
      <c r="F15" s="56" t="s">
        <v>141</v>
      </c>
      <c r="G15" s="56" t="s">
        <v>143</v>
      </c>
      <c r="I15" s="53" t="s">
        <v>164</v>
      </c>
      <c r="J15" s="53" t="s">
        <v>165</v>
      </c>
      <c r="K15" s="53" t="s">
        <v>166</v>
      </c>
    </row>
    <row r="16" spans="5:11" ht="28.8" x14ac:dyDescent="0.3">
      <c r="E16" s="56" t="s">
        <v>157</v>
      </c>
      <c r="F16" s="56" t="s">
        <v>146</v>
      </c>
      <c r="G16" s="56" t="s">
        <v>158</v>
      </c>
      <c r="I16" s="53" t="s">
        <v>167</v>
      </c>
      <c r="J16" s="53" t="s">
        <v>168</v>
      </c>
      <c r="K16" s="53" t="s">
        <v>169</v>
      </c>
    </row>
    <row r="17" spans="5:11" ht="43.2" x14ac:dyDescent="0.3">
      <c r="E17" s="56" t="s">
        <v>144</v>
      </c>
      <c r="F17" s="56" t="s">
        <v>148</v>
      </c>
      <c r="G17" s="56" t="s">
        <v>150</v>
      </c>
      <c r="I17" s="53" t="s">
        <v>170</v>
      </c>
      <c r="J17" s="53" t="s">
        <v>171</v>
      </c>
      <c r="K17" s="53" t="s">
        <v>172</v>
      </c>
    </row>
    <row r="18" spans="5:11" ht="28.8" x14ac:dyDescent="0.3">
      <c r="E18" s="56" t="s">
        <v>145</v>
      </c>
      <c r="F18" s="56" t="s">
        <v>159</v>
      </c>
      <c r="G18" s="56" t="s">
        <v>151</v>
      </c>
      <c r="I18" s="53" t="s">
        <v>173</v>
      </c>
      <c r="J18" s="53" t="s">
        <v>174</v>
      </c>
      <c r="K18" s="53" t="s">
        <v>175</v>
      </c>
    </row>
    <row r="19" spans="5:11" ht="28.8" x14ac:dyDescent="0.3">
      <c r="E19" s="56" t="s">
        <v>160</v>
      </c>
      <c r="F19" s="56" t="s">
        <v>149</v>
      </c>
      <c r="G19" s="56" t="s">
        <v>152</v>
      </c>
      <c r="I19" s="53" t="s">
        <v>176</v>
      </c>
      <c r="J19" s="53" t="s">
        <v>153</v>
      </c>
      <c r="K19" s="53" t="s">
        <v>177</v>
      </c>
    </row>
    <row r="20" spans="5:11" ht="28.8" x14ac:dyDescent="0.3">
      <c r="E20" s="56" t="s">
        <v>147</v>
      </c>
      <c r="F20" s="56" t="s">
        <v>153</v>
      </c>
      <c r="G20" s="56" t="s">
        <v>154</v>
      </c>
      <c r="I20" s="53" t="s">
        <v>178</v>
      </c>
      <c r="J20" s="53" t="s">
        <v>179</v>
      </c>
      <c r="K20" s="53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EDA</vt:lpstr>
      <vt:lpstr>H1</vt:lpstr>
      <vt:lpstr>H2</vt:lpstr>
      <vt:lpstr>H3</vt:lpstr>
      <vt:lpstr>Objective 4</vt:lpstr>
      <vt:lpstr>Objective 5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Jain</dc:creator>
  <cp:lastModifiedBy>Vedika Jain</cp:lastModifiedBy>
  <cp:lastPrinted>2026-05-25T04:24:14Z</cp:lastPrinted>
  <dcterms:created xsi:type="dcterms:W3CDTF">2026-04-16T09:20:50Z</dcterms:created>
  <dcterms:modified xsi:type="dcterms:W3CDTF">2026-05-26T05:00:03Z</dcterms:modified>
</cp:coreProperties>
</file>